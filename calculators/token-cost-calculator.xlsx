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RajuAr\Downloads\"/>
    </mc:Choice>
  </mc:AlternateContent>
  <xr:revisionPtr revIDLastSave="0" documentId="13_ncr:1_{308053BD-1CF1-4A28-81ED-14B834D348E2}" xr6:coauthVersionLast="47" xr6:coauthVersionMax="47" xr10:uidLastSave="{00000000-0000-0000-0000-000000000000}"/>
  <bookViews>
    <workbookView xWindow="-110" yWindow="-110" windowWidth="19420" windowHeight="10300" tabRatio="500" xr2:uid="{00000000-000D-0000-FFFF-FFFF00000000}"/>
  </bookViews>
  <sheets>
    <sheet name="Inputs" sheetId="1" r:id="rId1"/>
    <sheet name="Results" sheetId="2" r:id="rId2"/>
    <sheet name="Notes"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6" i="2" l="1"/>
  <c r="C35" i="2"/>
  <c r="C34" i="2"/>
  <c r="C33" i="2"/>
  <c r="C14" i="2"/>
  <c r="C8" i="2"/>
  <c r="C15" i="2" s="1"/>
  <c r="C7" i="2"/>
  <c r="C6" i="2"/>
  <c r="C28" i="2" s="1"/>
  <c r="C27" i="2" l="1"/>
  <c r="C9" i="2"/>
  <c r="C26" i="2"/>
  <c r="C13" i="2"/>
  <c r="C16" i="2" l="1"/>
  <c r="E26" i="2"/>
  <c r="E27" i="2"/>
  <c r="D26" i="2"/>
  <c r="E28" i="2"/>
  <c r="D27" i="2"/>
  <c r="D28" i="2"/>
  <c r="E36" i="2" l="1"/>
  <c r="D36" i="2"/>
  <c r="E33" i="2"/>
  <c r="C21" i="2"/>
  <c r="E34" i="2"/>
  <c r="D33" i="2"/>
  <c r="C29" i="2"/>
  <c r="C20" i="2"/>
  <c r="E35" i="2"/>
  <c r="C19" i="2"/>
  <c r="D34" i="2"/>
  <c r="D35" i="2"/>
  <c r="C22" i="2"/>
  <c r="D15" i="2"/>
  <c r="D14" i="2"/>
  <c r="D13" i="2"/>
  <c r="E29" i="2" l="1"/>
  <c r="D29" i="2"/>
</calcChain>
</file>

<file path=xl/sharedStrings.xml><?xml version="1.0" encoding="utf-8"?>
<sst xmlns="http://schemas.openxmlformats.org/spreadsheetml/2006/main" count="99" uniqueCount="97">
  <si>
    <t>AI Token Cost Calculator</t>
  </si>
  <si>
    <t>Enter your own numbers in the blue cells. Everything else calculates. Part of the ai-procurement-toolkit.</t>
  </si>
  <si>
    <t>HOW TO USE THIS</t>
  </si>
  <si>
    <t>1. Fill in every blue cell below. Only blue cells are editable.</t>
  </si>
  <si>
    <t>2. If you do not know a number, use the guidance in the right hand column.</t>
  </si>
  <si>
    <t>3. Read your answer on the Results sheet.</t>
  </si>
  <si>
    <t>4. Check the Notes sheet for assumptions and the date of any rate used.</t>
  </si>
  <si>
    <t>YOUR WORKLOAD</t>
  </si>
  <si>
    <t>Transactions per month</t>
  </si>
  <si>
    <t>One transaction is one complete request. One enquiry answered, one document summarized, one draft produced.</t>
  </si>
  <si>
    <t>Input tokens per transaction</t>
  </si>
  <si>
    <t>Output tokens per transaction</t>
  </si>
  <si>
    <t>What the model writes back, and what the user actually sees.</t>
  </si>
  <si>
    <t>Reasoning tokens per transaction</t>
  </si>
  <si>
    <t>The model's internal working out before it answers. Billed at the OUTPUT rate. Often longer than the answer. Enter 0 only if you have confirmed the model does not use it.</t>
  </si>
  <si>
    <t>VENDOR RATES (USD per million tokens)</t>
  </si>
  <si>
    <t>Input rate</t>
  </si>
  <si>
    <t>From the vendor's published rate card. Production tier models sat around $2 to $3 as at July 2026.</t>
  </si>
  <si>
    <t>Output rate</t>
  </si>
  <si>
    <t>Usually five to six times the input rate. This is the number that drives your bill.</t>
  </si>
  <si>
    <t>COST LEVERS</t>
  </si>
  <si>
    <t>Cache hit rate</t>
  </si>
  <si>
    <t>Share of your INPUT that repeats across transactions and can be cached. Cached input bills at roughly 10 percent of the standard input rate. Ask your technical team. Often high for chatbots with fixed instructions.</t>
  </si>
  <si>
    <t>Cached input rate multiplier</t>
  </si>
  <si>
    <t>Cached input is billed at this fraction of the standard input rate. Roughly 0.10 across major vendors.</t>
  </si>
  <si>
    <t>Share of volume eligible for batch</t>
  </si>
  <si>
    <t>Work that can wait up to 24 hours. Nightly reporting, bulk processing, evaluation runs. Batch is billed at 50 percent.</t>
  </si>
  <si>
    <t>Batch discount</t>
  </si>
  <si>
    <t>Flat 50 percent off both meters across major vendors.</t>
  </si>
  <si>
    <t>Regional or residency uplift</t>
  </si>
  <si>
    <t>Premium for keeping inference in a named geography. Around 10 percent where it applies. Enter 0 if not required.</t>
  </si>
  <si>
    <t>The example values above are a realistic policy question chatbot. Replace them with your own.</t>
  </si>
  <si>
    <t>Results</t>
  </si>
  <si>
    <t>Calculated. Do not type on this sheet. Change your numbers on the Inputs sheet.</t>
  </si>
  <si>
    <t>MONTHLY TOKEN VOLUME (millions)</t>
  </si>
  <si>
    <t>Input tokens</t>
  </si>
  <si>
    <t>Output tokens</t>
  </si>
  <si>
    <t>Reasoning tokens</t>
  </si>
  <si>
    <t>Total</t>
  </si>
  <si>
    <t>MONTHLY COST</t>
  </si>
  <si>
    <t>Cost</t>
  </si>
  <si>
    <t>Share of bill</t>
  </si>
  <si>
    <t>Input</t>
  </si>
  <si>
    <t>Output</t>
  </si>
  <si>
    <t>Reasoning (billed at output rate)</t>
  </si>
  <si>
    <t>TOTAL PER MONTH</t>
  </si>
  <si>
    <t>HEADLINE NUMBERS</t>
  </si>
  <si>
    <t>Cost per month</t>
  </si>
  <si>
    <t>Cost per year</t>
  </si>
  <si>
    <t>Cost per transaction</t>
  </si>
  <si>
    <t>Cost per 1,000 transactions</t>
  </si>
  <si>
    <t>WHAT THE LEVERS ARE WORTH</t>
  </si>
  <si>
    <t>Monthly cost</t>
  </si>
  <si>
    <t>Saving</t>
  </si>
  <si>
    <t>Saving %</t>
  </si>
  <si>
    <t>No caching, no batching</t>
  </si>
  <si>
    <t>Your caching only</t>
  </si>
  <si>
    <t>Your batching only</t>
  </si>
  <si>
    <t>Both, as configured</t>
  </si>
  <si>
    <t>SENSITIVITY: WHAT IF VOLUME MOVES</t>
  </si>
  <si>
    <t>Transactions</t>
  </si>
  <si>
    <t>Half your forecast</t>
  </si>
  <si>
    <t>Your forecast</t>
  </si>
  <si>
    <t>Double</t>
  </si>
  <si>
    <t>Triple</t>
  </si>
  <si>
    <t>Every figure here excludes infrastructure, retrieval, monitoring, guardrails, egress, support, and the human time to review outputs. See the Notes sheet.</t>
  </si>
  <si>
    <t>Notes, assumptions, and currency of rates</t>
  </si>
  <si>
    <t>RATES AND CURRENCY</t>
  </si>
  <si>
    <t>All rates are entered by you on the Inputs sheet. Nothing is hard coded into a formula, so this calculator does not go stale. Update the rate cells whenever the market moves.</t>
  </si>
  <si>
    <t>The example values shipped with this file reflect representative production tier pricing as at July 2026. Model lineups and token rates move quickly. Verify against the vendor's own published rate card before any figure from this sheet enters a business case.</t>
  </si>
  <si>
    <t>Rates are quoted in United States dollars. If you are budgeting in another currency, apply your own exchange assumption and state it.</t>
  </si>
  <si>
    <t>HOW THE CALCULATION WORKS</t>
  </si>
  <si>
    <t>Input cost blends cached and uncached input. The uncached share is billed at the full input rate. The cached share is billed at the cached multiplier, which is roughly ten percent across major vendors.</t>
  </si>
  <si>
    <t>Output cost is the output token volume at the output rate. Output typically costs five to six times input.</t>
  </si>
  <si>
    <t>Reasoning tokens are billed at the OUTPUT rate, not the input rate. This is the single most commonly missed item in an AI cost forecast.</t>
  </si>
  <si>
    <t>The batch discount is applied to the share of volume you mark as batch eligible, across all three meters.</t>
  </si>
  <si>
    <t>The regional uplift is applied last, to the whole bill.</t>
  </si>
  <si>
    <t>WHAT THIS CALCULATOR DOES NOT INCLUDE</t>
  </si>
  <si>
    <t>Vector database and retrieval infrastructure.</t>
  </si>
  <si>
    <t>Data egress between clouds or regions.</t>
  </si>
  <si>
    <t>Monitoring, logging, and observability.</t>
  </si>
  <si>
    <t>Guardrails and content filtering, which are often a separate meter.</t>
  </si>
  <si>
    <t>Private networking and connectivity.</t>
  </si>
  <si>
    <t>Support tier uplift.</t>
  </si>
  <si>
    <t>Hosting for any fine tuned model, which is billed by the hour whether or not anyone uses it.</t>
  </si>
  <si>
    <t>Human time to evaluate, review, and correct outputs. This is real and it is never in a vendor quote.</t>
  </si>
  <si>
    <t>Teams that budget only for tokens commonly land fifteen to forty percent over plan. Carry a named contingency and defend it with the list above.</t>
  </si>
  <si>
    <t>GETTING YOUR TOKEN NUMBERS</t>
  </si>
  <si>
    <t>Do not accept a vendor forecast that quotes a single tokens per month figure. Ask for the split into input, output, and reasoning tokens for your workload.</t>
  </si>
  <si>
    <t>The most reliable source is a pilot with logging switched on. Measure a few hundred real transactions and take the average.</t>
  </si>
  <si>
    <t>As a rough guide, a token is about four characters or three quarters of a word. One page of text is roughly five hundred tokens.</t>
  </si>
  <si>
    <t>Ask your technical team for the cache hit rate. Applications with fixed instructions and retrieved documents often have a high share of repeated input.</t>
  </si>
  <si>
    <t>BOUNDARIES</t>
  </si>
  <si>
    <t>This is a sizing tool. It is not a business case, a vendor quote, or a commitment. Figures should be reviewed by someone who can check the token assumptions before they are relied on.</t>
  </si>
  <si>
    <t>Part of the ai-procurement-toolkit. github.com/arunbalajiraju-proc/ai-procurement-toolkit</t>
  </si>
  <si>
    <t>Provided under the MIT Licence. This is a procurement and commercial tool, not legal advice.</t>
  </si>
  <si>
    <t>Everything you send: the question, the system instructions, retrieved documents, conversation history. A token is about 0.75 of a word (4 characters).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</si>
</sst>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
    <numFmt numFmtId="165" formatCode="0.0%"/>
    <numFmt numFmtId="166" formatCode="#,##0.0"/>
    <numFmt numFmtId="167" formatCode="\$#,##0;&quot;($&quot;#,##0\);\-"/>
    <numFmt numFmtId="168" formatCode="\$#,##0"/>
    <numFmt numFmtId="169" formatCode="\$#,##0.0000"/>
  </numFmts>
  <fonts count="11" x14ac:knownFonts="1">
    <font>
      <sz val="11"/>
      <color theme="1"/>
      <name val="Calibri"/>
      <family val="2"/>
      <charset val="1"/>
    </font>
    <font>
      <b/>
      <sz val="14"/>
      <color rgb="FFFFFFFF"/>
      <name val="Arial"/>
      <charset val="1"/>
    </font>
    <font>
      <i/>
      <sz val="10"/>
      <color rgb="FF6B7280"/>
      <name val="Arial"/>
      <charset val="1"/>
    </font>
    <font>
      <b/>
      <sz val="11"/>
      <color rgb="FF0F1D3A"/>
      <name val="Arial"/>
      <charset val="1"/>
    </font>
    <font>
      <sz val="10"/>
      <color rgb="FF000000"/>
      <name val="Arial"/>
      <charset val="1"/>
    </font>
    <font>
      <b/>
      <sz val="10"/>
      <color rgb="FF0000FF"/>
      <name val="Arial"/>
      <charset val="1"/>
    </font>
    <font>
      <sz val="9"/>
      <color rgb="FF6B7280"/>
      <name val="Arial"/>
      <charset val="1"/>
    </font>
    <font>
      <b/>
      <sz val="10"/>
      <name val="Arial"/>
      <charset val="1"/>
    </font>
    <font>
      <b/>
      <sz val="9"/>
      <color rgb="FF6B7280"/>
      <name val="Arial"/>
      <charset val="1"/>
    </font>
    <font>
      <b/>
      <sz val="12"/>
      <color rgb="FF0F1D3A"/>
      <name val="Arial"/>
      <charset val="1"/>
    </font>
    <font>
      <sz val="10"/>
      <name val="Arial"/>
      <charset val="1"/>
    </font>
  </fonts>
  <fills count="6">
    <fill>
      <patternFill patternType="none"/>
    </fill>
    <fill>
      <patternFill patternType="gray125"/>
    </fill>
    <fill>
      <patternFill patternType="solid">
        <fgColor theme="4" tint="0.79998168889431442"/>
        <bgColor rgb="FFFFFF99"/>
      </patternFill>
    </fill>
    <fill>
      <patternFill patternType="solid">
        <fgColor theme="0" tint="-0.14999847407452621"/>
        <bgColor rgb="FFE3F2EF"/>
      </patternFill>
    </fill>
    <fill>
      <patternFill patternType="solid">
        <fgColor theme="1" tint="0.14999847407452621"/>
        <bgColor rgb="FF333333"/>
      </patternFill>
    </fill>
    <fill>
      <patternFill patternType="solid">
        <fgColor theme="6" tint="0.59999389629810485"/>
        <bgColor rgb="FFF2F5FA"/>
      </patternFill>
    </fill>
  </fills>
  <borders count="3">
    <border>
      <left/>
      <right/>
      <top/>
      <bottom/>
      <diagonal/>
    </border>
    <border>
      <left style="thin">
        <color rgb="FFD0D5DD"/>
      </left>
      <right style="thin">
        <color rgb="FFD0D5DD"/>
      </right>
      <top style="thin">
        <color rgb="FFD0D5DD"/>
      </top>
      <bottom style="thin">
        <color rgb="FFD0D5DD"/>
      </bottom>
      <diagonal/>
    </border>
    <border>
      <left/>
      <right/>
      <top style="medium">
        <color rgb="FF0F1D3A"/>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4" fillId="0" borderId="0" xfId="0" applyFont="1"/>
    <xf numFmtId="0" fontId="6" fillId="0" borderId="0" xfId="0" applyFont="1" applyAlignment="1">
      <alignment vertical="top" wrapText="1"/>
    </xf>
    <xf numFmtId="166" fontId="0" fillId="0" borderId="1" xfId="0" applyNumberFormat="1" applyBorder="1"/>
    <xf numFmtId="0" fontId="7" fillId="0" borderId="0" xfId="0" applyFont="1"/>
    <xf numFmtId="166" fontId="7" fillId="0" borderId="1" xfId="0" applyNumberFormat="1" applyFont="1" applyBorder="1"/>
    <xf numFmtId="0" fontId="8" fillId="0" borderId="0" xfId="0" applyFont="1"/>
    <xf numFmtId="167" fontId="0" fillId="0" borderId="1" xfId="0" applyNumberFormat="1" applyBorder="1"/>
    <xf numFmtId="165" fontId="4" fillId="0" borderId="0" xfId="0" applyNumberFormat="1" applyFont="1"/>
    <xf numFmtId="0" fontId="9" fillId="0" borderId="2" xfId="0" applyFont="1" applyBorder="1"/>
    <xf numFmtId="167" fontId="9" fillId="0" borderId="1" xfId="0" applyNumberFormat="1" applyFont="1" applyBorder="1"/>
    <xf numFmtId="0" fontId="0" fillId="0" borderId="2" xfId="0" applyBorder="1"/>
    <xf numFmtId="168" fontId="0" fillId="0" borderId="1" xfId="0" applyNumberFormat="1" applyBorder="1"/>
    <xf numFmtId="165" fontId="0" fillId="0" borderId="1" xfId="0" applyNumberFormat="1" applyBorder="1"/>
    <xf numFmtId="168" fontId="7" fillId="0" borderId="1" xfId="0" applyNumberFormat="1" applyFont="1" applyBorder="1"/>
    <xf numFmtId="167" fontId="7" fillId="0" borderId="1" xfId="0" applyNumberFormat="1" applyFont="1" applyBorder="1"/>
    <xf numFmtId="165" fontId="7" fillId="0" borderId="1" xfId="0" applyNumberFormat="1" applyFont="1" applyBorder="1"/>
    <xf numFmtId="3" fontId="0" fillId="0" borderId="1" xfId="0" applyNumberFormat="1" applyBorder="1"/>
    <xf numFmtId="0" fontId="10" fillId="0" borderId="0" xfId="0" applyFont="1" applyAlignment="1">
      <alignment vertical="top" wrapText="1"/>
    </xf>
    <xf numFmtId="3" fontId="5" fillId="2" borderId="1" xfId="0" applyNumberFormat="1" applyFont="1" applyFill="1" applyBorder="1"/>
    <xf numFmtId="164" fontId="5" fillId="2" borderId="1" xfId="0" applyNumberFormat="1" applyFont="1" applyFill="1" applyBorder="1"/>
    <xf numFmtId="165" fontId="5" fillId="2" borderId="1" xfId="0" applyNumberFormat="1" applyFont="1" applyFill="1" applyBorder="1"/>
    <xf numFmtId="9" fontId="5" fillId="2" borderId="1" xfId="0" applyNumberFormat="1" applyFont="1" applyFill="1" applyBorder="1"/>
    <xf numFmtId="0" fontId="3" fillId="3" borderId="0" xfId="0" applyFont="1" applyFill="1"/>
    <xf numFmtId="0" fontId="0" fillId="3" borderId="0" xfId="0" applyFill="1"/>
    <xf numFmtId="0" fontId="1" fillId="4" borderId="0" xfId="0" applyFont="1" applyFill="1" applyAlignment="1">
      <alignment horizontal="left" vertical="center" indent="1"/>
    </xf>
    <xf numFmtId="168" fontId="3" fillId="5" borderId="1" xfId="0" applyNumberFormat="1" applyFont="1" applyFill="1" applyBorder="1"/>
    <xf numFmtId="169" fontId="3" fillId="5" borderId="1" xfId="0" applyNumberFormat="1" applyFont="1" applyFill="1" applyBorder="1"/>
    <xf numFmtId="164" fontId="3" fillId="5" borderId="1" xfId="0" applyNumberFormat="1" applyFont="1" applyFill="1" applyBorder="1"/>
    <xf numFmtId="0" fontId="1" fillId="4" borderId="0" xfId="0" applyFont="1" applyFill="1" applyAlignment="1">
      <alignment horizontal="left" vertical="center" inden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E3F2EF"/>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F2F5FA"/>
      <rgbColor rgb="FFCCFFCC"/>
      <rgbColor rgb="FFFFFF99"/>
      <rgbColor rgb="FF99CCFF"/>
      <rgbColor rgb="FFFF99CC"/>
      <rgbColor rgb="FFCC99FF"/>
      <rgbColor rgb="FFFFCC99"/>
      <rgbColor rgb="FF3366FF"/>
      <rgbColor rgb="FF33CCCC"/>
      <rgbColor rgb="FF99CC00"/>
      <rgbColor rgb="FFFFCC00"/>
      <rgbColor rgb="FFFF9900"/>
      <rgbColor rgb="FFFF6600"/>
      <rgbColor rgb="FF6B7280"/>
      <rgbColor rgb="FF969696"/>
      <rgbColor rgb="FF0F1D3A"/>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29"/>
  <sheetViews>
    <sheetView showGridLines="0" tabSelected="1" zoomScaleNormal="100" workbookViewId="0">
      <selection activeCell="C25" sqref="C25"/>
    </sheetView>
  </sheetViews>
  <sheetFormatPr defaultColWidth="8.6328125" defaultRowHeight="14.5" x14ac:dyDescent="0.35"/>
  <cols>
    <col min="1" max="1" width="2" customWidth="1"/>
    <col min="2" max="2" width="46" customWidth="1"/>
    <col min="3" max="3" width="16" customWidth="1"/>
    <col min="4" max="4" width="52" customWidth="1"/>
  </cols>
  <sheetData>
    <row r="2" spans="2:4" ht="30" customHeight="1" x14ac:dyDescent="0.35">
      <c r="B2" s="27" t="s">
        <v>0</v>
      </c>
      <c r="C2" s="27"/>
      <c r="D2" s="27"/>
    </row>
    <row r="3" spans="2:4" x14ac:dyDescent="0.35">
      <c r="B3" s="1" t="s">
        <v>1</v>
      </c>
      <c r="C3" s="1"/>
      <c r="D3" s="1"/>
    </row>
    <row r="5" spans="2:4" x14ac:dyDescent="0.35">
      <c r="B5" s="2" t="s">
        <v>2</v>
      </c>
    </row>
    <row r="6" spans="2:4" x14ac:dyDescent="0.35">
      <c r="B6" s="3" t="s">
        <v>3</v>
      </c>
    </row>
    <row r="7" spans="2:4" x14ac:dyDescent="0.35">
      <c r="B7" s="3" t="s">
        <v>4</v>
      </c>
    </row>
    <row r="8" spans="2:4" x14ac:dyDescent="0.35">
      <c r="B8" s="3" t="s">
        <v>5</v>
      </c>
    </row>
    <row r="9" spans="2:4" x14ac:dyDescent="0.35">
      <c r="B9" s="3" t="s">
        <v>6</v>
      </c>
    </row>
    <row r="11" spans="2:4" x14ac:dyDescent="0.35">
      <c r="B11" s="25" t="s">
        <v>7</v>
      </c>
      <c r="C11" s="26"/>
      <c r="D11" s="26"/>
    </row>
    <row r="12" spans="2:4" ht="30" customHeight="1" x14ac:dyDescent="0.35">
      <c r="B12" s="3" t="s">
        <v>8</v>
      </c>
      <c r="C12" s="21">
        <v>50000</v>
      </c>
      <c r="D12" s="4" t="s">
        <v>9</v>
      </c>
    </row>
    <row r="13" spans="2:4" ht="34.5" x14ac:dyDescent="0.35">
      <c r="B13" s="3" t="s">
        <v>10</v>
      </c>
      <c r="C13" s="21">
        <v>8100</v>
      </c>
      <c r="D13" s="4" t="s">
        <v>96</v>
      </c>
    </row>
    <row r="14" spans="2:4" ht="30" customHeight="1" x14ac:dyDescent="0.35">
      <c r="B14" s="3" t="s">
        <v>11</v>
      </c>
      <c r="C14" s="21">
        <v>400</v>
      </c>
      <c r="D14" s="4" t="s">
        <v>12</v>
      </c>
    </row>
    <row r="15" spans="2:4" ht="34.5" x14ac:dyDescent="0.35">
      <c r="B15" s="3" t="s">
        <v>13</v>
      </c>
      <c r="C15" s="21">
        <v>2000</v>
      </c>
      <c r="D15" s="4" t="s">
        <v>14</v>
      </c>
    </row>
    <row r="17" spans="2:4" x14ac:dyDescent="0.35">
      <c r="B17" s="25" t="s">
        <v>15</v>
      </c>
      <c r="C17" s="26"/>
      <c r="D17" s="26"/>
    </row>
    <row r="18" spans="2:4" ht="27.75" customHeight="1" x14ac:dyDescent="0.35">
      <c r="B18" s="3" t="s">
        <v>16</v>
      </c>
      <c r="C18" s="22">
        <v>3</v>
      </c>
      <c r="D18" s="4" t="s">
        <v>17</v>
      </c>
    </row>
    <row r="19" spans="2:4" ht="27.75" customHeight="1" x14ac:dyDescent="0.35">
      <c r="B19" s="3" t="s">
        <v>18</v>
      </c>
      <c r="C19" s="22">
        <v>15</v>
      </c>
      <c r="D19" s="4" t="s">
        <v>19</v>
      </c>
    </row>
    <row r="21" spans="2:4" x14ac:dyDescent="0.35">
      <c r="B21" s="25" t="s">
        <v>20</v>
      </c>
      <c r="C21" s="26"/>
      <c r="D21" s="26"/>
    </row>
    <row r="22" spans="2:4" ht="46" x14ac:dyDescent="0.35">
      <c r="B22" s="3" t="s">
        <v>21</v>
      </c>
      <c r="C22" s="23">
        <v>0.25</v>
      </c>
      <c r="D22" s="4" t="s">
        <v>22</v>
      </c>
    </row>
    <row r="23" spans="2:4" ht="33.75" customHeight="1" x14ac:dyDescent="0.35">
      <c r="B23" s="3" t="s">
        <v>23</v>
      </c>
      <c r="C23" s="24">
        <v>0.1</v>
      </c>
      <c r="D23" s="4" t="s">
        <v>24</v>
      </c>
    </row>
    <row r="24" spans="2:4" ht="33.75" customHeight="1" x14ac:dyDescent="0.35">
      <c r="B24" s="3" t="s">
        <v>25</v>
      </c>
      <c r="C24" s="23">
        <v>0.2</v>
      </c>
      <c r="D24" s="4" t="s">
        <v>26</v>
      </c>
    </row>
    <row r="25" spans="2:4" ht="33.75" customHeight="1" x14ac:dyDescent="0.35">
      <c r="B25" s="3" t="s">
        <v>27</v>
      </c>
      <c r="C25" s="24">
        <v>0.5</v>
      </c>
      <c r="D25" s="4" t="s">
        <v>28</v>
      </c>
    </row>
    <row r="26" spans="2:4" ht="33.75" customHeight="1" x14ac:dyDescent="0.35">
      <c r="B26" s="3" t="s">
        <v>29</v>
      </c>
      <c r="C26" s="23">
        <v>0</v>
      </c>
      <c r="D26" s="4" t="s">
        <v>30</v>
      </c>
    </row>
    <row r="29" spans="2:4" x14ac:dyDescent="0.35">
      <c r="B29" s="1" t="s">
        <v>31</v>
      </c>
      <c r="C29" s="1"/>
      <c r="D29" s="1"/>
    </row>
  </sheetData>
  <mergeCells count="3">
    <mergeCell ref="B2:D2"/>
    <mergeCell ref="B3:D3"/>
    <mergeCell ref="B29:D2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F38"/>
  <sheetViews>
    <sheetView showGridLines="0" zoomScaleNormal="100" workbookViewId="0">
      <selection activeCell="E36" sqref="E36"/>
    </sheetView>
  </sheetViews>
  <sheetFormatPr defaultColWidth="8.6328125" defaultRowHeight="14.5" x14ac:dyDescent="0.35"/>
  <cols>
    <col min="1" max="1" width="2" customWidth="1"/>
    <col min="2" max="2" width="44" customWidth="1"/>
    <col min="3" max="5" width="18" customWidth="1"/>
    <col min="6" max="6" width="30" customWidth="1"/>
  </cols>
  <sheetData>
    <row r="2" spans="2:6" ht="30" customHeight="1" x14ac:dyDescent="0.35">
      <c r="B2" s="27" t="s">
        <v>32</v>
      </c>
      <c r="C2" s="27"/>
      <c r="D2" s="27"/>
      <c r="E2" s="27"/>
      <c r="F2" s="27"/>
    </row>
    <row r="3" spans="2:6" x14ac:dyDescent="0.35">
      <c r="B3" s="1" t="s">
        <v>33</v>
      </c>
      <c r="C3" s="1"/>
      <c r="D3" s="1"/>
      <c r="E3" s="1"/>
      <c r="F3" s="1"/>
    </row>
    <row r="5" spans="2:6" x14ac:dyDescent="0.35">
      <c r="B5" s="25" t="s">
        <v>34</v>
      </c>
      <c r="C5" s="26"/>
      <c r="D5" s="26"/>
      <c r="E5" s="26"/>
      <c r="F5" s="26"/>
    </row>
    <row r="6" spans="2:6" x14ac:dyDescent="0.35">
      <c r="B6" s="3" t="s">
        <v>35</v>
      </c>
      <c r="C6" s="5">
        <f>Inputs!$C$12*Inputs!$C$13/1000000</f>
        <v>405</v>
      </c>
    </row>
    <row r="7" spans="2:6" x14ac:dyDescent="0.35">
      <c r="B7" s="3" t="s">
        <v>36</v>
      </c>
      <c r="C7" s="5">
        <f>Inputs!$C$12*Inputs!$C$14/1000000</f>
        <v>20</v>
      </c>
    </row>
    <row r="8" spans="2:6" x14ac:dyDescent="0.35">
      <c r="B8" s="3" t="s">
        <v>37</v>
      </c>
      <c r="C8" s="5">
        <f>Inputs!$C$12*Inputs!$C$15/1000000</f>
        <v>100</v>
      </c>
    </row>
    <row r="9" spans="2:6" x14ac:dyDescent="0.35">
      <c r="B9" s="6" t="s">
        <v>38</v>
      </c>
      <c r="C9" s="7">
        <f>SUM(C6:C8)</f>
        <v>525</v>
      </c>
    </row>
    <row r="11" spans="2:6" x14ac:dyDescent="0.35">
      <c r="B11" s="25" t="s">
        <v>39</v>
      </c>
      <c r="C11" s="26"/>
      <c r="D11" s="26"/>
      <c r="E11" s="26"/>
      <c r="F11" s="26"/>
    </row>
    <row r="12" spans="2:6" x14ac:dyDescent="0.35">
      <c r="C12" s="8" t="s">
        <v>40</v>
      </c>
      <c r="D12" s="8" t="s">
        <v>41</v>
      </c>
    </row>
    <row r="13" spans="2:6" x14ac:dyDescent="0.35">
      <c r="B13" s="3" t="s">
        <v>42</v>
      </c>
      <c r="C13" s="9">
        <f>C6*Inputs!$C$18*((1-Inputs!$C$22)+Inputs!$C$22*Inputs!$C$23)*(1-Inputs!$C$24*Inputs!$C$25)*(1+Inputs!$C$26)</f>
        <v>847.46249999999998</v>
      </c>
      <c r="D13" s="10">
        <f>IFERROR(C13/$C$16,0)</f>
        <v>0.3434550677061961</v>
      </c>
    </row>
    <row r="14" spans="2:6" x14ac:dyDescent="0.35">
      <c r="B14" s="3" t="s">
        <v>43</v>
      </c>
      <c r="C14" s="9">
        <f>C7*Inputs!$C$19*(1-Inputs!$C$24*Inputs!$C$25)*(1+Inputs!$C$26)</f>
        <v>270</v>
      </c>
      <c r="D14" s="10">
        <f>IFERROR(C14/$C$16,0)</f>
        <v>0.10942415538230064</v>
      </c>
    </row>
    <row r="15" spans="2:6" x14ac:dyDescent="0.35">
      <c r="B15" s="3" t="s">
        <v>44</v>
      </c>
      <c r="C15" s="9">
        <f>C8*Inputs!$C$19*(1-Inputs!$C$24*Inputs!$C$25)*(1+Inputs!$C$26)</f>
        <v>1350</v>
      </c>
      <c r="D15" s="10">
        <f>IFERROR(C15/$C$16,0)</f>
        <v>0.54712077691150318</v>
      </c>
    </row>
    <row r="16" spans="2:6" ht="15.5" x14ac:dyDescent="0.35">
      <c r="B16" s="11" t="s">
        <v>45</v>
      </c>
      <c r="C16" s="12">
        <f>SUM(C13:C15)</f>
        <v>2467.4625000000001</v>
      </c>
      <c r="D16" s="13"/>
    </row>
    <row r="18" spans="2:6" x14ac:dyDescent="0.35">
      <c r="B18" s="25" t="s">
        <v>46</v>
      </c>
      <c r="C18" s="26"/>
      <c r="D18" s="26"/>
      <c r="E18" s="26"/>
      <c r="F18" s="26"/>
    </row>
    <row r="19" spans="2:6" x14ac:dyDescent="0.35">
      <c r="B19" s="3" t="s">
        <v>47</v>
      </c>
      <c r="C19" s="28">
        <f>$C$16</f>
        <v>2467.4625000000001</v>
      </c>
    </row>
    <row r="20" spans="2:6" x14ac:dyDescent="0.35">
      <c r="B20" s="3" t="s">
        <v>48</v>
      </c>
      <c r="C20" s="28">
        <f>$C$16*12</f>
        <v>29609.550000000003</v>
      </c>
    </row>
    <row r="21" spans="2:6" x14ac:dyDescent="0.35">
      <c r="B21" s="3" t="s">
        <v>49</v>
      </c>
      <c r="C21" s="29">
        <f>IFERROR($C$16/Inputs!$C$12,0)</f>
        <v>4.9349250000000004E-2</v>
      </c>
    </row>
    <row r="22" spans="2:6" x14ac:dyDescent="0.35">
      <c r="B22" s="3" t="s">
        <v>50</v>
      </c>
      <c r="C22" s="30">
        <f>IFERROR($C$16/Inputs!$C$12*1000,0)</f>
        <v>49.349250000000005</v>
      </c>
    </row>
    <row r="24" spans="2:6" x14ac:dyDescent="0.35">
      <c r="B24" s="25" t="s">
        <v>51</v>
      </c>
      <c r="C24" s="26"/>
      <c r="D24" s="26"/>
      <c r="E24" s="26"/>
      <c r="F24" s="26"/>
    </row>
    <row r="25" spans="2:6" x14ac:dyDescent="0.35">
      <c r="C25" s="8" t="s">
        <v>52</v>
      </c>
      <c r="D25" s="8" t="s">
        <v>53</v>
      </c>
      <c r="E25" s="8" t="s">
        <v>54</v>
      </c>
    </row>
    <row r="26" spans="2:6" x14ac:dyDescent="0.35">
      <c r="B26" s="3" t="s">
        <v>55</v>
      </c>
      <c r="C26" s="14">
        <f>(C6*Inputs!$C$18+C7*Inputs!$C$19+C8*Inputs!$C$19)*(1+Inputs!$C$26)</f>
        <v>3015</v>
      </c>
      <c r="D26" s="9">
        <f>$C$26-C26</f>
        <v>0</v>
      </c>
      <c r="E26" s="15">
        <f>IFERROR(($C$26-C26)/$C$26,0)</f>
        <v>0</v>
      </c>
    </row>
    <row r="27" spans="2:6" x14ac:dyDescent="0.35">
      <c r="B27" s="3" t="s">
        <v>56</v>
      </c>
      <c r="C27" s="14">
        <f>(C6*Inputs!$C$18*((1-Inputs!$C$22)+Inputs!$C$22*Inputs!$C$23)+C7*Inputs!$C$19+C8*Inputs!$C$19)*(1+Inputs!$C$26)</f>
        <v>2741.625</v>
      </c>
      <c r="D27" s="9">
        <f>$C$26-C27</f>
        <v>273.375</v>
      </c>
      <c r="E27" s="15">
        <f>IFERROR(($C$26-C27)/$C$26,0)</f>
        <v>9.0671641791044782E-2</v>
      </c>
    </row>
    <row r="28" spans="2:6" x14ac:dyDescent="0.35">
      <c r="B28" s="3" t="s">
        <v>57</v>
      </c>
      <c r="C28" s="14">
        <f>(C6*Inputs!$C$18+C7*Inputs!$C$19+C8*Inputs!$C$19)*(1-Inputs!$C$24*Inputs!$C$25)*(1+Inputs!$C$26)</f>
        <v>2713.5</v>
      </c>
      <c r="D28" s="9">
        <f>$C$26-C28</f>
        <v>301.5</v>
      </c>
      <c r="E28" s="15">
        <f>IFERROR(($C$26-C28)/$C$26,0)</f>
        <v>0.1</v>
      </c>
    </row>
    <row r="29" spans="2:6" x14ac:dyDescent="0.35">
      <c r="B29" s="6" t="s">
        <v>58</v>
      </c>
      <c r="C29" s="16">
        <f>$C$16</f>
        <v>2467.4625000000001</v>
      </c>
      <c r="D29" s="17">
        <f>$C$26-C29</f>
        <v>547.53749999999991</v>
      </c>
      <c r="E29" s="18">
        <f>IFERROR(($C$26-C29)/$C$26,0)</f>
        <v>0.18160447761194026</v>
      </c>
    </row>
    <row r="31" spans="2:6" x14ac:dyDescent="0.35">
      <c r="B31" s="25" t="s">
        <v>59</v>
      </c>
      <c r="C31" s="26"/>
      <c r="D31" s="26"/>
      <c r="E31" s="26"/>
      <c r="F31" s="26"/>
    </row>
    <row r="32" spans="2:6" x14ac:dyDescent="0.35">
      <c r="C32" s="8" t="s">
        <v>60</v>
      </c>
      <c r="D32" s="8" t="s">
        <v>47</v>
      </c>
      <c r="E32" s="8" t="s">
        <v>48</v>
      </c>
    </row>
    <row r="33" spans="2:6" x14ac:dyDescent="0.35">
      <c r="B33" s="3" t="s">
        <v>61</v>
      </c>
      <c r="C33" s="19">
        <f>Inputs!$C$12*0.5</f>
        <v>25000</v>
      </c>
      <c r="D33" s="14">
        <f>$C$16*0.5</f>
        <v>1233.73125</v>
      </c>
      <c r="E33" s="14">
        <f>$C$16*0.5*12</f>
        <v>14804.775000000001</v>
      </c>
    </row>
    <row r="34" spans="2:6" x14ac:dyDescent="0.35">
      <c r="B34" s="3" t="s">
        <v>62</v>
      </c>
      <c r="C34" s="19">
        <f>Inputs!$C$12*1</f>
        <v>50000</v>
      </c>
      <c r="D34" s="14">
        <f>$C$16*1</f>
        <v>2467.4625000000001</v>
      </c>
      <c r="E34" s="14">
        <f>$C$16*1*12</f>
        <v>29609.550000000003</v>
      </c>
    </row>
    <row r="35" spans="2:6" x14ac:dyDescent="0.35">
      <c r="B35" s="3" t="s">
        <v>63</v>
      </c>
      <c r="C35" s="19">
        <f>Inputs!$C$12*2</f>
        <v>100000</v>
      </c>
      <c r="D35" s="14">
        <f>$C$16*2</f>
        <v>4934.9250000000002</v>
      </c>
      <c r="E35" s="14">
        <f>$C$16*2*12</f>
        <v>59219.100000000006</v>
      </c>
    </row>
    <row r="36" spans="2:6" x14ac:dyDescent="0.35">
      <c r="B36" s="3" t="s">
        <v>64</v>
      </c>
      <c r="C36" s="19">
        <f>Inputs!$C$12*3</f>
        <v>150000</v>
      </c>
      <c r="D36" s="14">
        <f>$C$16*3</f>
        <v>7402.3875000000007</v>
      </c>
      <c r="E36" s="14">
        <f>$C$16*3*12</f>
        <v>88828.650000000009</v>
      </c>
    </row>
    <row r="38" spans="2:6" x14ac:dyDescent="0.35">
      <c r="B38" s="1" t="s">
        <v>65</v>
      </c>
      <c r="C38" s="1"/>
      <c r="D38" s="1"/>
      <c r="E38" s="1"/>
      <c r="F38" s="1"/>
    </row>
  </sheetData>
  <mergeCells count="3">
    <mergeCell ref="B2:F2"/>
    <mergeCell ref="B3:F3"/>
    <mergeCell ref="B38:F38"/>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B32"/>
  <sheetViews>
    <sheetView showGridLines="0" topLeftCell="A25" zoomScaleNormal="100" workbookViewId="0">
      <selection activeCell="B31" sqref="B31"/>
    </sheetView>
  </sheetViews>
  <sheetFormatPr defaultColWidth="8.6328125" defaultRowHeight="14.5" x14ac:dyDescent="0.35"/>
  <cols>
    <col min="1" max="1" width="2" customWidth="1"/>
    <col min="2" max="2" width="100" customWidth="1"/>
  </cols>
  <sheetData>
    <row r="2" spans="2:2" ht="30" customHeight="1" x14ac:dyDescent="0.35">
      <c r="B2" s="31" t="s">
        <v>66</v>
      </c>
    </row>
    <row r="4" spans="2:2" x14ac:dyDescent="0.35">
      <c r="B4" s="25" t="s">
        <v>67</v>
      </c>
    </row>
    <row r="5" spans="2:2" ht="27.75" customHeight="1" x14ac:dyDescent="0.35">
      <c r="B5" s="20" t="s">
        <v>68</v>
      </c>
    </row>
    <row r="6" spans="2:2" ht="27.75" customHeight="1" x14ac:dyDescent="0.35">
      <c r="B6" s="20" t="s">
        <v>69</v>
      </c>
    </row>
    <row r="7" spans="2:2" ht="27.75" customHeight="1" x14ac:dyDescent="0.35">
      <c r="B7" s="20" t="s">
        <v>70</v>
      </c>
    </row>
    <row r="8" spans="2:2" x14ac:dyDescent="0.35">
      <c r="B8" s="25" t="s">
        <v>71</v>
      </c>
    </row>
    <row r="9" spans="2:2" ht="27.75" customHeight="1" x14ac:dyDescent="0.35">
      <c r="B9" s="20" t="s">
        <v>72</v>
      </c>
    </row>
    <row r="10" spans="2:2" ht="27.75" customHeight="1" x14ac:dyDescent="0.35">
      <c r="B10" s="20" t="s">
        <v>73</v>
      </c>
    </row>
    <row r="11" spans="2:2" ht="27.75" customHeight="1" x14ac:dyDescent="0.35">
      <c r="B11" s="20" t="s">
        <v>74</v>
      </c>
    </row>
    <row r="12" spans="2:2" ht="27.75" customHeight="1" x14ac:dyDescent="0.35">
      <c r="B12" s="20" t="s">
        <v>75</v>
      </c>
    </row>
    <row r="13" spans="2:2" ht="27.75" customHeight="1" x14ac:dyDescent="0.35">
      <c r="B13" s="20" t="s">
        <v>76</v>
      </c>
    </row>
    <row r="14" spans="2:2" x14ac:dyDescent="0.35">
      <c r="B14" s="25" t="s">
        <v>77</v>
      </c>
    </row>
    <row r="15" spans="2:2" ht="27.75" customHeight="1" x14ac:dyDescent="0.35">
      <c r="B15" s="20" t="s">
        <v>78</v>
      </c>
    </row>
    <row r="16" spans="2:2" ht="27.75" customHeight="1" x14ac:dyDescent="0.35">
      <c r="B16" s="20" t="s">
        <v>79</v>
      </c>
    </row>
    <row r="17" spans="2:2" ht="27.75" customHeight="1" x14ac:dyDescent="0.35">
      <c r="B17" s="20" t="s">
        <v>80</v>
      </c>
    </row>
    <row r="18" spans="2:2" ht="27.75" customHeight="1" x14ac:dyDescent="0.35">
      <c r="B18" s="20" t="s">
        <v>81</v>
      </c>
    </row>
    <row r="19" spans="2:2" ht="27.75" customHeight="1" x14ac:dyDescent="0.35">
      <c r="B19" s="20" t="s">
        <v>82</v>
      </c>
    </row>
    <row r="20" spans="2:2" ht="27.75" customHeight="1" x14ac:dyDescent="0.35">
      <c r="B20" s="20" t="s">
        <v>83</v>
      </c>
    </row>
    <row r="21" spans="2:2" ht="27.75" customHeight="1" x14ac:dyDescent="0.35">
      <c r="B21" s="20" t="s">
        <v>84</v>
      </c>
    </row>
    <row r="22" spans="2:2" ht="27.75" customHeight="1" x14ac:dyDescent="0.35">
      <c r="B22" s="20" t="s">
        <v>85</v>
      </c>
    </row>
    <row r="23" spans="2:2" ht="27.75" customHeight="1" x14ac:dyDescent="0.35">
      <c r="B23" s="20" t="s">
        <v>86</v>
      </c>
    </row>
    <row r="24" spans="2:2" x14ac:dyDescent="0.35">
      <c r="B24" s="25" t="s">
        <v>87</v>
      </c>
    </row>
    <row r="25" spans="2:2" ht="27.75" customHeight="1" x14ac:dyDescent="0.35">
      <c r="B25" s="20" t="s">
        <v>88</v>
      </c>
    </row>
    <row r="26" spans="2:2" ht="27.75" customHeight="1" x14ac:dyDescent="0.35">
      <c r="B26" s="20" t="s">
        <v>89</v>
      </c>
    </row>
    <row r="27" spans="2:2" ht="27.75" customHeight="1" x14ac:dyDescent="0.35">
      <c r="B27" s="20" t="s">
        <v>90</v>
      </c>
    </row>
    <row r="28" spans="2:2" ht="27.75" customHeight="1" x14ac:dyDescent="0.35">
      <c r="B28" s="20" t="s">
        <v>91</v>
      </c>
    </row>
    <row r="29" spans="2:2" x14ac:dyDescent="0.35">
      <c r="B29" s="25" t="s">
        <v>92</v>
      </c>
    </row>
    <row r="30" spans="2:2" ht="27.75" customHeight="1" x14ac:dyDescent="0.35">
      <c r="B30" s="20" t="s">
        <v>93</v>
      </c>
    </row>
    <row r="31" spans="2:2" ht="27.75" customHeight="1" x14ac:dyDescent="0.35">
      <c r="B31" s="20" t="s">
        <v>94</v>
      </c>
    </row>
    <row r="32" spans="2:2" ht="27.75" customHeight="1" x14ac:dyDescent="0.35">
      <c r="B32" s="20" t="s">
        <v>95</v>
      </c>
    </row>
  </sheetData>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034a106e-6316-442c-ad35-738afd673d2b}" enabled="1" method="Standard" siteId="{cddc1229-ac2a-4b97-b78a-0e5cacb5865c}" contentBits="0" removed="0"/>
</clbl:labelLis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Inputs</vt:lpstr>
      <vt:lpstr>Results</vt:lpstr>
      <vt:lpstr>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Raju, Arun (CSCO)</cp:lastModifiedBy>
  <cp:revision>0</cp:revision>
  <dcterms:created xsi:type="dcterms:W3CDTF">2026-07-31T18:26:40Z</dcterms:created>
  <dcterms:modified xsi:type="dcterms:W3CDTF">2026-07-31T19:06:24Z</dcterms:modified>
  <dc:language>en-US</dc:language>
</cp:coreProperties>
</file>