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RajuAr\Downloads\"/>
    </mc:Choice>
  </mc:AlternateContent>
  <xr:revisionPtr revIDLastSave="0" documentId="13_ncr:1_{02A590A3-E9DF-4AAB-A47D-2ACBF1290CE4}" xr6:coauthVersionLast="47" xr6:coauthVersionMax="47" xr10:uidLastSave="{00000000-0000-0000-0000-000000000000}"/>
  <bookViews>
    <workbookView xWindow="-110" yWindow="-110" windowWidth="19420" windowHeight="10300" xr2:uid="{00000000-000D-0000-FFFF-FFFF00000000}"/>
  </bookViews>
  <sheets>
    <sheet name="Inputs" sheetId="1" r:id="rId1"/>
    <sheet name="Results" sheetId="2" r:id="rId2"/>
    <sheet name="Note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7" i="2" l="1"/>
  <c r="C26" i="2"/>
  <c r="C25" i="2"/>
  <c r="A19" i="2"/>
  <c r="B13" i="2"/>
  <c r="C13" i="2" s="1"/>
  <c r="B12" i="2"/>
  <c r="C12" i="2" s="1"/>
  <c r="B11" i="2"/>
  <c r="A5" i="2" l="1"/>
  <c r="G5" i="2" s="1"/>
  <c r="C11" i="2"/>
  <c r="B14" i="2"/>
  <c r="D13" i="2" s="1"/>
  <c r="C19" i="2"/>
  <c r="E19" i="2" s="1"/>
  <c r="G19" i="2" s="1"/>
  <c r="D5" i="2"/>
  <c r="C14" i="2"/>
  <c r="D11" i="2" l="1"/>
  <c r="D27" i="2"/>
  <c r="E27" i="2" s="1"/>
  <c r="D25" i="2"/>
  <c r="E25" i="2" s="1"/>
  <c r="D26" i="2"/>
  <c r="E26" i="2" s="1"/>
  <c r="D12" i="2"/>
  <c r="D14" i="2" s="1"/>
</calcChain>
</file>

<file path=xl/sharedStrings.xml><?xml version="1.0" encoding="utf-8"?>
<sst xmlns="http://schemas.openxmlformats.org/spreadsheetml/2006/main" count="139" uniqueCount="127">
  <si>
    <t>Token Cost Calculator</t>
  </si>
  <si>
    <t>Enter your workload in the blue cells. All monetary results are shown in USD.</t>
  </si>
  <si>
    <t>1. Workload volume</t>
  </si>
  <si>
    <t>Transactions per month</t>
  </si>
  <si>
    <t>transactions</t>
  </si>
  <si>
    <t>Use successful and unsuccessful requests if both are billable under the vendor terms.</t>
  </si>
  <si>
    <t>2. Token shape per transaction</t>
  </si>
  <si>
    <t>Input tokens per transaction</t>
  </si>
  <si>
    <t>tokens</t>
  </si>
  <si>
    <t>Everything sent to the model, including instructions, retrieved content, conversation history, and tool definitions.</t>
  </si>
  <si>
    <t>Output tokens per transaction</t>
  </si>
  <si>
    <t>The visible answer returned by the model.</t>
  </si>
  <si>
    <t>Reasoning tokens per transaction</t>
  </si>
  <si>
    <t>Internal working tokens. Default to zero only if the vendor confirms none are billed. They are often substantial.</t>
  </si>
  <si>
    <t>3. Vendor token rates</t>
  </si>
  <si>
    <t>Input rate</t>
  </si>
  <si>
    <t>USD per million tokens</t>
  </si>
  <si>
    <t>Replace the illustrative rate with the quoted rate for the exact model and endpoint.</t>
  </si>
  <si>
    <t>Output rate</t>
  </si>
  <si>
    <t>Reasoning tokens are costed at this rate. Confirm that treatment with the vendor.</t>
  </si>
  <si>
    <t>4. Architecture and commercial modifiers</t>
  </si>
  <si>
    <t>Input tokens served from cache</t>
  </si>
  <si>
    <t>% of input tokens</t>
  </si>
  <si>
    <t>Enter the share of input tokens expected to hit a valid cache, not the share of transactions using a cache.</t>
  </si>
  <si>
    <t>Cached input rate</t>
  </si>
  <si>
    <t>% of standard input rate</t>
  </si>
  <si>
    <t>Illustrative default is 10%. Verify the vendor's cache read rate, write cost, expiry, and eligibility rules.</t>
  </si>
  <si>
    <t>Volume eligible for batch processing</t>
  </si>
  <si>
    <t>% of transactions</t>
  </si>
  <si>
    <t>Batching usually requires delayed processing. Enter only the volume that can meet the vendor's turnaround conditions.</t>
  </si>
  <si>
    <t>Batch discount on eligible volume</t>
  </si>
  <si>
    <t>% off</t>
  </si>
  <si>
    <t>Illustrative default is 50%. Confirm the discount and whether it stacks with caching.</t>
  </si>
  <si>
    <t>Regional or residency uplift</t>
  </si>
  <si>
    <t>% added</t>
  </si>
  <si>
    <t>Enter any uplift for a named region, data residency, or specialized endpoint. Default is zero.</t>
  </si>
  <si>
    <t>Default scenario: the budgeted policy chatbot example. Enter 2,000 reasoning tokens to see monthly cost rise from USD 1,515 to USD 3,015.</t>
  </si>
  <si>
    <t>Token Cost Results</t>
  </si>
  <si>
    <t>Formula driven from the Inputs sheet. Do not type on this sheet.</t>
  </si>
  <si>
    <t>MONTHLY COST</t>
  </si>
  <si>
    <t>ANNUAL COST</t>
  </si>
  <si>
    <t>COST PER TRANSACTION</t>
  </si>
  <si>
    <t>Cost breakdown</t>
  </si>
  <si>
    <t>Component</t>
  </si>
  <si>
    <t>Monthly cost</t>
  </si>
  <si>
    <t>Annual cost</t>
  </si>
  <si>
    <t>Share of total</t>
  </si>
  <si>
    <t>Input</t>
  </si>
  <si>
    <t>Visible output</t>
  </si>
  <si>
    <t>Reasoning</t>
  </si>
  <si>
    <t>Total</t>
  </si>
  <si>
    <t>Cost with and without caching and batching</t>
  </si>
  <si>
    <t>Without optimization</t>
  </si>
  <si>
    <t>With current assumptions</t>
  </si>
  <si>
    <t>Monthly saving</t>
  </si>
  <si>
    <t>Saving rate</t>
  </si>
  <si>
    <t>Volume sensitivity</t>
  </si>
  <si>
    <t>Scenario</t>
  </si>
  <si>
    <t>Volume multiplier</t>
  </si>
  <si>
    <t>Transactions</t>
  </si>
  <si>
    <t>Half volume</t>
  </si>
  <si>
    <t>Current volume</t>
  </si>
  <si>
    <t>Triple volume</t>
  </si>
  <si>
    <t>Procurement challenge: any vendor forecast quoting one tokens per month number is useless. Send it back and ask for the input, output, and reasoning split.</t>
  </si>
  <si>
    <t>Notes, Assumptions, and Sources</t>
  </si>
  <si>
    <t>Rates move quickly. Verify every rate and modifier against vendor documentation before using the result in a business case.</t>
  </si>
  <si>
    <t>How to use the calculator</t>
  </si>
  <si>
    <t>Replace the example workload on the Inputs sheet with the vendor's input, visible output, and reasoning token forecast.</t>
  </si>
  <si>
    <t>Replace the illustrative token rates and commercial modifiers with the rates for the exact model, endpoint, and contract.</t>
  </si>
  <si>
    <t>Review the Results sheet, including the component split, optimization saving, and volume sensitivity.</t>
  </si>
  <si>
    <t>Return any forecast that provides only one total token volume. The split determines the cost.</t>
  </si>
  <si>
    <t>Calculation logic</t>
  </si>
  <si>
    <t>Input cost</t>
  </si>
  <si>
    <t>Input volume × input rate, adjusted for the share served from cache.</t>
  </si>
  <si>
    <t>Output cost</t>
  </si>
  <si>
    <t>Visible output volume × output rate.</t>
  </si>
  <si>
    <t>Reasoning cost</t>
  </si>
  <si>
    <t>Reasoning token volume × output rate.</t>
  </si>
  <si>
    <t>Batch factor</t>
  </si>
  <si>
    <t>1 minus eligible batch volume multiplied by the batch discount. Applied to input, output, and reasoning.</t>
  </si>
  <si>
    <t>Residency factor</t>
  </si>
  <si>
    <t>1 plus the regional or residency uplift. Applied after caching and batching.</t>
  </si>
  <si>
    <t>Rate and assumption register</t>
  </si>
  <si>
    <t>Item</t>
  </si>
  <si>
    <t>Loaded value</t>
  </si>
  <si>
    <t>As at</t>
  </si>
  <si>
    <t>What to verify</t>
  </si>
  <si>
    <t>$3 per million tokens</t>
  </si>
  <si>
    <t>July 2026</t>
  </si>
  <si>
    <t>Exact model, endpoint, currency, volume tier, and contracted rate.</t>
  </si>
  <si>
    <t>Output and reasoning rate</t>
  </si>
  <si>
    <t>$15 per million tokens</t>
  </si>
  <si>
    <t>Output rate and whether all internal reasoning tokens are billable.</t>
  </si>
  <si>
    <t>10% of standard input rate</t>
  </si>
  <si>
    <t>Cache read price, write cost, expiry, minimum prefix, and stacking rules.</t>
  </si>
  <si>
    <t>Batch discount</t>
  </si>
  <si>
    <t>50% on eligible volume</t>
  </si>
  <si>
    <t>Turnaround, eligibility, service level, and whether the discount stacks with caching.</t>
  </si>
  <si>
    <t>0% loaded, about 10% illustrated</t>
  </si>
  <si>
    <t>Exact endpoint uplift and whether it applies to every meter.</t>
  </si>
  <si>
    <t>What this calculator does not include</t>
  </si>
  <si>
    <t>Taxes, platform fees, storage, networking, retrieval systems, monitoring, support, retries, error charges, fine tuning, dedicated hosting, human review, implementation, and change management are excluded. Add them separately when preparing a total cost of ownership model.</t>
  </si>
  <si>
    <t>Boundary</t>
  </si>
  <si>
    <t>This calculator is a cost sizing aid, not a business case, vendor selection, approval, or legal opinion. A procurement professional should confirm the commercial assumptions. The accountable technical owner should confirm the token forecast, cacheability, batch eligibility, model tier, and endpoint. Verify every rate against the vendor source before relying on the result.</t>
  </si>
  <si>
    <t>Source and version</t>
  </si>
  <si>
    <t>Calculator</t>
  </si>
  <si>
    <t>token-cost-calculator.xlsx, version 1.0</t>
  </si>
  <si>
    <t>Toolkit release</t>
  </si>
  <si>
    <t>0.2.0, prepared 2026-07-31</t>
  </si>
  <si>
    <t>Repository</t>
  </si>
  <si>
    <t>https://github.com/arunbalajiraju-proc/ai-procurement-toolkit</t>
  </si>
  <si>
    <t>Part of the ai-procurement-toolkit. The toolkit works with any assistant, and this calculator opens in any modern spreadsheet application. This is a procurement and commercial tool, not legal advice.</t>
  </si>
  <si>
    <t>RATES AND CURRENCY</t>
  </si>
  <si>
    <t>All rates are entered by you on the Inputs sheet. Nothing is hard coded into a formula, so this calculator does not go stale. Update the rate cells whenever the market moves.</t>
  </si>
  <si>
    <t>The example values shipped with this file reflect representative production tier pricing as at July 2026. Model lineups and token rates move quickly. Verify against the vendor's own published rate card before any figure from this sheet enters a business case.</t>
  </si>
  <si>
    <t>Rates are quoted in United States dollars. If you are budgeting in another currency, apply your own exchange assumption and state it.</t>
  </si>
  <si>
    <t>HOW THE CALCULATION WORKS</t>
  </si>
  <si>
    <t>Input cost blends cached and uncached input. The uncached share is billed at the full input rate. The cached share is billed at the cached multiplier, which is roughly ten percent across major vendors.</t>
  </si>
  <si>
    <t>Output cost is the output token volume at the output rate. Output typically costs five to six times input.</t>
  </si>
  <si>
    <t>Reasoning tokens are billed at the OUTPUT rate, not the input rate. This is the single most commonly missed item in an AI cost forecast.</t>
  </si>
  <si>
    <t>The batch discount is applied to the share of volume you mark as batch eligible, across all three meters.</t>
  </si>
  <si>
    <t>The regional uplift is applied last, to the whole bill.</t>
  </si>
  <si>
    <t>GETTING YOUR TOKEN NUMBERS</t>
  </si>
  <si>
    <t>Do not accept a vendor forecast that quotes a single tokens per month figure. Ask for the split into input, output, and reasoning tokens for your workload.</t>
  </si>
  <si>
    <t>The most reliable source is a pilot with logging switched on. Measure a few hundred real transactions and take the average.</t>
  </si>
  <si>
    <t>As a rough guide, a token is about four characters or three quarters of a word. One page of text is roughly five hundred tokens.</t>
  </si>
  <si>
    <t>Ask your technical team for the cache hit rate. Applications with fixed instructions and retrieved documents often have a high share of repeated input.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</si>
</sst>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
    <numFmt numFmtId="165" formatCode="0.0%"/>
    <numFmt numFmtId="166" formatCode="\$#,##0.00"/>
    <numFmt numFmtId="167" formatCode="0.0\x"/>
  </numFmts>
  <fonts count="21">
    <font>
      <sz val="11"/>
      <name val="Carlito"/>
    </font>
    <font>
      <b/>
      <sz val="20"/>
      <color rgb="FFFFFFFF"/>
      <name val="Aptos Display"/>
    </font>
    <font>
      <sz val="10"/>
      <color rgb="FF16263D"/>
      <name val="Aptos"/>
    </font>
    <font>
      <b/>
      <sz val="11"/>
      <color rgb="FFFFFFFF"/>
      <name val="Aptos"/>
    </font>
    <font>
      <i/>
      <sz val="9"/>
      <color rgb="FF9A6700"/>
      <name val="Aptos"/>
    </font>
    <font>
      <sz val="9"/>
      <color rgb="FF5E6C84"/>
      <name val="Aptos"/>
    </font>
    <font>
      <b/>
      <sz val="10"/>
      <color rgb="FF0B1F3A"/>
      <name val="Aptos"/>
    </font>
    <font>
      <b/>
      <sz val="20"/>
      <color rgb="FFFFFFFF"/>
      <name val="Aptos"/>
    </font>
    <font>
      <sz val="11"/>
      <name val="Aptos"/>
    </font>
    <font>
      <b/>
      <sz val="10"/>
      <color rgb="FFFFFFFF"/>
      <name val="Aptos"/>
    </font>
    <font>
      <b/>
      <sz val="20"/>
      <color rgb="FF0B1F3A"/>
      <name val="Aptos Display"/>
    </font>
    <font>
      <b/>
      <sz val="9"/>
      <color rgb="FF5E6C84"/>
      <name val="Aptos"/>
    </font>
    <font>
      <b/>
      <sz val="16"/>
      <color rgb="FF19724C"/>
      <name val="Aptos Display"/>
    </font>
    <font>
      <b/>
      <sz val="11"/>
      <color rgb="FF9A6700"/>
      <name val="Aptos"/>
    </font>
    <font>
      <b/>
      <sz val="10"/>
      <color rgb="FF1769E0"/>
      <name val="Aptos"/>
    </font>
    <font>
      <b/>
      <sz val="10"/>
      <color rgb="FF16263D"/>
      <name val="Aptos"/>
    </font>
    <font>
      <b/>
      <sz val="9"/>
      <color rgb="FFFFFFFF"/>
      <name val="Aptos"/>
    </font>
    <font>
      <sz val="9"/>
      <color rgb="FF16263D"/>
      <name val="Aptos"/>
    </font>
    <font>
      <sz val="10"/>
      <color rgb="FFA33A32"/>
      <name val="Aptos"/>
    </font>
    <font>
      <b/>
      <sz val="9"/>
      <color rgb="FF16263D"/>
      <name val="Aptos"/>
    </font>
    <font>
      <i/>
      <sz val="9"/>
      <color rgb="FFFFFFFF"/>
      <name val="Aptos"/>
    </font>
  </fonts>
  <fills count="13">
    <fill>
      <patternFill patternType="none"/>
    </fill>
    <fill>
      <patternFill patternType="gray125"/>
    </fill>
    <fill>
      <patternFill patternType="solid">
        <fgColor rgb="FF0B1F3A"/>
      </patternFill>
    </fill>
    <fill>
      <patternFill patternType="solid">
        <fgColor rgb="FFF5F9FF"/>
      </patternFill>
    </fill>
    <fill>
      <patternFill patternType="solid">
        <fgColor rgb="FF1769E0"/>
      </patternFill>
    </fill>
    <fill>
      <patternFill patternType="solid">
        <fgColor rgb="FFFFF6D9"/>
      </patternFill>
    </fill>
    <fill>
      <patternFill patternType="solid">
        <fgColor rgb="FFEAF2FF"/>
      </patternFill>
    </fill>
    <fill>
      <patternFill patternType="solid">
        <fgColor rgb="FF0F6B78"/>
      </patternFill>
    </fill>
    <fill>
      <patternFill patternType="solid">
        <fgColor rgb="FFE8F4F6"/>
      </patternFill>
    </fill>
    <fill>
      <patternFill patternType="solid">
        <fgColor rgb="FFFFFFFF"/>
      </patternFill>
    </fill>
    <fill>
      <patternFill patternType="solid">
        <fgColor rgb="FFF5F7FA"/>
      </patternFill>
    </fill>
    <fill>
      <patternFill patternType="solid">
        <fgColor rgb="FFE9F6EF"/>
      </patternFill>
    </fill>
    <fill>
      <patternFill patternType="solid">
        <fgColor rgb="FFFCECEA"/>
      </patternFill>
    </fill>
  </fills>
  <borders count="42">
    <border>
      <left/>
      <right/>
      <top/>
      <bottom/>
      <diagonal/>
    </border>
    <border>
      <left style="thin">
        <color rgb="FFE7C766"/>
      </left>
      <right/>
      <top style="thin">
        <color rgb="FFE7C766"/>
      </top>
      <bottom style="thin">
        <color rgb="FFE7C766"/>
      </bottom>
      <diagonal/>
    </border>
    <border>
      <left/>
      <right/>
      <top style="thin">
        <color rgb="FFE7C766"/>
      </top>
      <bottom style="thin">
        <color rgb="FFE7C766"/>
      </bottom>
      <diagonal/>
    </border>
    <border>
      <left/>
      <right style="thin">
        <color rgb="FFE7C766"/>
      </right>
      <top style="thin">
        <color rgb="FFE7C766"/>
      </top>
      <bottom style="thin">
        <color rgb="FFE7C766"/>
      </bottom>
      <diagonal/>
    </border>
    <border>
      <left style="thin">
        <color rgb="FF1769E0"/>
      </left>
      <right style="thin">
        <color rgb="FF1769E0"/>
      </right>
      <top style="thin">
        <color rgb="FF1769E0"/>
      </top>
      <bottom style="thin">
        <color rgb="FF1769E0"/>
      </bottom>
      <diagonal/>
    </border>
    <border>
      <left style="thin">
        <color rgb="FF1769E0"/>
      </left>
      <right style="thin">
        <color rgb="FF1769E0"/>
      </right>
      <top style="thin">
        <color rgb="FF1769E0"/>
      </top>
      <bottom/>
      <diagonal/>
    </border>
    <border>
      <left style="thin">
        <color rgb="FF1769E0"/>
      </left>
      <right style="thin">
        <color rgb="FF1769E0"/>
      </right>
      <top/>
      <bottom/>
      <diagonal/>
    </border>
    <border>
      <left style="thin">
        <color rgb="FF1769E0"/>
      </left>
      <right style="thin">
        <color rgb="FF1769E0"/>
      </right>
      <top/>
      <bottom style="thin">
        <color rgb="FF1769E0"/>
      </bottom>
      <diagonal/>
    </border>
    <border>
      <left style="thin">
        <color rgb="FF0F6B78"/>
      </left>
      <right/>
      <top style="thin">
        <color rgb="FF0F6B78"/>
      </top>
      <bottom/>
      <diagonal/>
    </border>
    <border>
      <left/>
      <right style="thin">
        <color rgb="FF0F6B78"/>
      </right>
      <top style="thin">
        <color rgb="FF0F6B78"/>
      </top>
      <bottom/>
      <diagonal/>
    </border>
    <border>
      <left style="thin">
        <color rgb="FF0F6B78"/>
      </left>
      <right/>
      <top/>
      <bottom style="thin">
        <color rgb="FF0F6B78"/>
      </bottom>
      <diagonal/>
    </border>
    <border>
      <left/>
      <right style="thin">
        <color rgb="FF0F6B78"/>
      </right>
      <top/>
      <bottom style="thin">
        <color rgb="FF0F6B78"/>
      </bottom>
      <diagonal/>
    </border>
    <border>
      <left/>
      <right/>
      <top/>
      <bottom style="thin">
        <color rgb="FFD7DFEA"/>
      </bottom>
      <diagonal/>
    </border>
    <border>
      <left/>
      <right/>
      <top style="thin">
        <color rgb="FFD7DFEA"/>
      </top>
      <bottom style="thin">
        <color rgb="FFD7DFEA"/>
      </bottom>
      <diagonal/>
    </border>
    <border>
      <left/>
      <right/>
      <top style="medium">
        <color rgb="FF1769E0"/>
      </top>
      <bottom/>
      <diagonal/>
    </border>
    <border>
      <left style="thin">
        <color rgb="FF7CBF9C"/>
      </left>
      <right/>
      <top style="thin">
        <color rgb="FF7CBF9C"/>
      </top>
      <bottom/>
      <diagonal/>
    </border>
    <border>
      <left/>
      <right style="thin">
        <color rgb="FF7CBF9C"/>
      </right>
      <top style="thin">
        <color rgb="FF7CBF9C"/>
      </top>
      <bottom/>
      <diagonal/>
    </border>
    <border>
      <left style="thin">
        <color rgb="FF7CBF9C"/>
      </left>
      <right/>
      <top/>
      <bottom style="thin">
        <color rgb="FF7CBF9C"/>
      </bottom>
      <diagonal/>
    </border>
    <border>
      <left/>
      <right style="thin">
        <color rgb="FF7CBF9C"/>
      </right>
      <top/>
      <bottom style="thin">
        <color rgb="FF7CBF9C"/>
      </bottom>
      <diagonal/>
    </border>
    <border>
      <left style="thin">
        <color rgb="FFE7C766"/>
      </left>
      <right/>
      <top style="thin">
        <color rgb="FFE7C766"/>
      </top>
      <bottom/>
      <diagonal/>
    </border>
    <border>
      <left/>
      <right/>
      <top style="thin">
        <color rgb="FFE7C766"/>
      </top>
      <bottom/>
      <diagonal/>
    </border>
    <border>
      <left/>
      <right style="thin">
        <color rgb="FFE7C766"/>
      </right>
      <top style="thin">
        <color rgb="FFE7C766"/>
      </top>
      <bottom/>
      <diagonal/>
    </border>
    <border>
      <left style="thin">
        <color rgb="FFE7C766"/>
      </left>
      <right/>
      <top/>
      <bottom/>
      <diagonal/>
    </border>
    <border>
      <left/>
      <right style="thin">
        <color rgb="FFE7C766"/>
      </right>
      <top/>
      <bottom/>
      <diagonal/>
    </border>
    <border>
      <left style="thin">
        <color rgb="FFE7C766"/>
      </left>
      <right/>
      <top/>
      <bottom style="thin">
        <color rgb="FFE7C766"/>
      </bottom>
      <diagonal/>
    </border>
    <border>
      <left/>
      <right/>
      <top/>
      <bottom style="thin">
        <color rgb="FFE7C766"/>
      </bottom>
      <diagonal/>
    </border>
    <border>
      <left/>
      <right style="thin">
        <color rgb="FFE7C766"/>
      </right>
      <top/>
      <bottom style="thin">
        <color rgb="FFE7C766"/>
      </bottom>
      <diagonal/>
    </border>
    <border>
      <left style="thin">
        <color rgb="FFD7DFEA"/>
      </left>
      <right/>
      <top style="thin">
        <color rgb="FFD7DFEA"/>
      </top>
      <bottom/>
      <diagonal/>
    </border>
    <border>
      <left/>
      <right/>
      <top style="thin">
        <color rgb="FFD7DFEA"/>
      </top>
      <bottom/>
      <diagonal/>
    </border>
    <border>
      <left/>
      <right style="thin">
        <color rgb="FFD7DFEA"/>
      </right>
      <top style="thin">
        <color rgb="FFD7DFEA"/>
      </top>
      <bottom/>
      <diagonal/>
    </border>
    <border>
      <left style="thin">
        <color rgb="FFD7DFEA"/>
      </left>
      <right/>
      <top/>
      <bottom/>
      <diagonal/>
    </border>
    <border>
      <left/>
      <right style="thin">
        <color rgb="FFD7DFEA"/>
      </right>
      <top/>
      <bottom/>
      <diagonal/>
    </border>
    <border>
      <left style="thin">
        <color rgb="FFD7DFEA"/>
      </left>
      <right/>
      <top/>
      <bottom style="thin">
        <color rgb="FFD7DFEA"/>
      </bottom>
      <diagonal/>
    </border>
    <border>
      <left/>
      <right style="thin">
        <color rgb="FFD7DFEA"/>
      </right>
      <top/>
      <bottom style="thin">
        <color rgb="FFD7DFEA"/>
      </bottom>
      <diagonal/>
    </border>
    <border>
      <left style="thin">
        <color rgb="FFD98B84"/>
      </left>
      <right/>
      <top style="thin">
        <color rgb="FFD98B84"/>
      </top>
      <bottom/>
      <diagonal/>
    </border>
    <border>
      <left/>
      <right/>
      <top style="thin">
        <color rgb="FFD98B84"/>
      </top>
      <bottom/>
      <diagonal/>
    </border>
    <border>
      <left/>
      <right style="thin">
        <color rgb="FFD98B84"/>
      </right>
      <top style="thin">
        <color rgb="FFD98B84"/>
      </top>
      <bottom/>
      <diagonal/>
    </border>
    <border>
      <left style="thin">
        <color rgb="FFD98B84"/>
      </left>
      <right/>
      <top/>
      <bottom/>
      <diagonal/>
    </border>
    <border>
      <left/>
      <right style="thin">
        <color rgb="FFD98B84"/>
      </right>
      <top/>
      <bottom/>
      <diagonal/>
    </border>
    <border>
      <left style="thin">
        <color rgb="FFD98B84"/>
      </left>
      <right/>
      <top/>
      <bottom style="thin">
        <color rgb="FFD98B84"/>
      </bottom>
      <diagonal/>
    </border>
    <border>
      <left/>
      <right/>
      <top/>
      <bottom style="thin">
        <color rgb="FFD98B84"/>
      </bottom>
      <diagonal/>
    </border>
    <border>
      <left/>
      <right style="thin">
        <color rgb="FFD98B84"/>
      </right>
      <top/>
      <bottom style="thin">
        <color rgb="FFD98B84"/>
      </bottom>
      <diagonal/>
    </border>
  </borders>
  <cellStyleXfs count="1">
    <xf numFmtId="0" fontId="0" fillId="0" borderId="0"/>
  </cellStyleXfs>
  <cellXfs count="91">
    <xf numFmtId="0" fontId="0" fillId="0" borderId="0" xfId="0"/>
    <xf numFmtId="0" fontId="2" fillId="0" borderId="0" xfId="0" applyFont="1" applyAlignment="1">
      <alignment vertical="center"/>
    </xf>
    <xf numFmtId="0" fontId="5" fillId="0" borderId="0" xfId="0" applyFont="1" applyAlignment="1">
      <alignment vertical="center" wrapText="1"/>
    </xf>
    <xf numFmtId="3" fontId="6" fillId="6" borderId="4" xfId="0" applyNumberFormat="1" applyFont="1" applyFill="1" applyBorder="1" applyAlignment="1">
      <alignment horizontal="right" vertical="center"/>
    </xf>
    <xf numFmtId="3" fontId="6" fillId="6" borderId="5" xfId="0" applyNumberFormat="1" applyFont="1" applyFill="1" applyBorder="1" applyAlignment="1">
      <alignment horizontal="right" vertical="center"/>
    </xf>
    <xf numFmtId="3" fontId="6" fillId="6" borderId="6" xfId="0" applyNumberFormat="1" applyFont="1" applyFill="1" applyBorder="1" applyAlignment="1">
      <alignment horizontal="right" vertical="center"/>
    </xf>
    <xf numFmtId="3" fontId="6" fillId="6" borderId="7" xfId="0" applyNumberFormat="1" applyFont="1" applyFill="1" applyBorder="1" applyAlignment="1">
      <alignment horizontal="right" vertical="center"/>
    </xf>
    <xf numFmtId="164" fontId="6" fillId="6" borderId="5" xfId="0" applyNumberFormat="1" applyFont="1" applyFill="1" applyBorder="1" applyAlignment="1">
      <alignment horizontal="right" vertical="center"/>
    </xf>
    <xf numFmtId="164" fontId="6" fillId="6" borderId="7" xfId="0" applyNumberFormat="1" applyFont="1" applyFill="1" applyBorder="1" applyAlignment="1">
      <alignment horizontal="right" vertical="center"/>
    </xf>
    <xf numFmtId="165" fontId="6" fillId="6" borderId="5" xfId="0" applyNumberFormat="1" applyFont="1" applyFill="1" applyBorder="1" applyAlignment="1">
      <alignment horizontal="right" vertical="center"/>
    </xf>
    <xf numFmtId="165" fontId="6" fillId="6" borderId="6" xfId="0" applyNumberFormat="1" applyFont="1" applyFill="1" applyBorder="1" applyAlignment="1">
      <alignment horizontal="right" vertical="center"/>
    </xf>
    <xf numFmtId="165" fontId="6" fillId="6" borderId="7" xfId="0" applyNumberFormat="1" applyFont="1" applyFill="1" applyBorder="1" applyAlignment="1">
      <alignment horizontal="right" vertical="center"/>
    </xf>
    <xf numFmtId="0" fontId="8" fillId="0" borderId="0" xfId="0" applyFont="1"/>
    <xf numFmtId="0" fontId="9" fillId="2" borderId="0" xfId="0" applyFont="1" applyFill="1" applyAlignment="1">
      <alignment horizontal="center" vertical="center"/>
    </xf>
    <xf numFmtId="0" fontId="2" fillId="9" borderId="12" xfId="0" applyFont="1" applyFill="1" applyBorder="1"/>
    <xf numFmtId="0" fontId="2" fillId="9" borderId="13" xfId="0" applyFont="1" applyFill="1" applyBorder="1"/>
    <xf numFmtId="0" fontId="6" fillId="6" borderId="14" xfId="0" applyFont="1" applyFill="1" applyBorder="1"/>
    <xf numFmtId="166" fontId="2" fillId="9" borderId="12" xfId="0" applyNumberFormat="1" applyFont="1" applyFill="1" applyBorder="1"/>
    <xf numFmtId="166" fontId="2" fillId="9" borderId="13" xfId="0" applyNumberFormat="1" applyFont="1" applyFill="1" applyBorder="1"/>
    <xf numFmtId="166" fontId="6" fillId="6" borderId="14" xfId="0" applyNumberFormat="1" applyFont="1" applyFill="1" applyBorder="1"/>
    <xf numFmtId="165" fontId="2" fillId="9" borderId="12" xfId="0" applyNumberFormat="1" applyFont="1" applyFill="1" applyBorder="1"/>
    <xf numFmtId="165" fontId="2" fillId="9" borderId="13" xfId="0" applyNumberFormat="1" applyFont="1" applyFill="1" applyBorder="1"/>
    <xf numFmtId="165" fontId="6" fillId="6" borderId="14" xfId="0" applyNumberFormat="1" applyFont="1" applyFill="1" applyBorder="1"/>
    <xf numFmtId="0" fontId="11" fillId="10" borderId="0" xfId="0" applyFont="1" applyFill="1" applyAlignment="1">
      <alignment horizontal="center" vertical="center" wrapText="1"/>
    </xf>
    <xf numFmtId="167" fontId="2" fillId="9" borderId="12" xfId="0" applyNumberFormat="1" applyFont="1" applyFill="1" applyBorder="1"/>
    <xf numFmtId="167" fontId="2" fillId="9" borderId="13" xfId="0" applyNumberFormat="1" applyFont="1" applyFill="1" applyBorder="1"/>
    <xf numFmtId="3" fontId="2" fillId="9" borderId="12" xfId="0" applyNumberFormat="1" applyFont="1" applyFill="1" applyBorder="1"/>
    <xf numFmtId="3" fontId="2" fillId="9" borderId="13" xfId="0" applyNumberFormat="1" applyFont="1" applyFill="1" applyBorder="1"/>
    <xf numFmtId="0" fontId="14" fillId="6" borderId="0" xfId="0" applyFont="1" applyFill="1" applyAlignment="1">
      <alignment horizontal="center" vertical="center"/>
    </xf>
    <xf numFmtId="0" fontId="15" fillId="10" borderId="0" xfId="0" applyFont="1" applyFill="1" applyAlignment="1">
      <alignment vertical="center"/>
    </xf>
    <xf numFmtId="0" fontId="16" fillId="2" borderId="0" xfId="0" applyFont="1" applyFill="1" applyAlignment="1">
      <alignment horizontal="center" vertical="center" wrapText="1"/>
    </xf>
    <xf numFmtId="0" fontId="19" fillId="10" borderId="0" xfId="0" applyFont="1" applyFill="1"/>
    <xf numFmtId="0" fontId="17" fillId="9" borderId="12" xfId="0" applyFont="1" applyFill="1" applyBorder="1" applyAlignment="1">
      <alignment vertical="center" wrapText="1"/>
    </xf>
    <xf numFmtId="0" fontId="17" fillId="9" borderId="13" xfId="0" applyFont="1" applyFill="1" applyBorder="1" applyAlignment="1">
      <alignment vertical="center" wrapText="1"/>
    </xf>
    <xf numFmtId="0" fontId="5" fillId="0" borderId="0" xfId="0" applyFont="1" applyAlignment="1">
      <alignment vertical="center" wrapText="1"/>
    </xf>
    <xf numFmtId="0" fontId="4" fillId="5" borderId="1" xfId="0" applyFont="1" applyFill="1" applyBorder="1" applyAlignment="1">
      <alignment vertical="center" wrapText="1"/>
    </xf>
    <xf numFmtId="0" fontId="4" fillId="5" borderId="2" xfId="0" applyFont="1" applyFill="1" applyBorder="1" applyAlignment="1">
      <alignment vertical="center" wrapText="1"/>
    </xf>
    <xf numFmtId="0" fontId="4" fillId="5" borderId="3" xfId="0" applyFont="1" applyFill="1" applyBorder="1" applyAlignment="1">
      <alignment vertical="center" wrapText="1"/>
    </xf>
    <xf numFmtId="0" fontId="3" fillId="4" borderId="0" xfId="0" applyFont="1" applyFill="1" applyAlignment="1">
      <alignment vertical="center"/>
    </xf>
    <xf numFmtId="0" fontId="7" fillId="2" borderId="0" xfId="0" applyFont="1" applyFill="1" applyAlignment="1">
      <alignment vertical="center"/>
    </xf>
    <xf numFmtId="0" fontId="2" fillId="3" borderId="0" xfId="0" applyFont="1" applyFill="1" applyAlignment="1">
      <alignment vertical="center" wrapText="1"/>
    </xf>
    <xf numFmtId="0" fontId="13" fillId="5" borderId="19" xfId="0" applyFont="1" applyFill="1" applyBorder="1" applyAlignment="1">
      <alignment horizontal="left" vertical="center" wrapText="1"/>
    </xf>
    <xf numFmtId="0" fontId="13" fillId="5" borderId="20" xfId="0" applyFont="1" applyFill="1" applyBorder="1" applyAlignment="1">
      <alignment horizontal="left" vertical="center" wrapText="1"/>
    </xf>
    <xf numFmtId="0" fontId="13" fillId="5" borderId="21" xfId="0" applyFont="1" applyFill="1" applyBorder="1" applyAlignment="1">
      <alignment horizontal="left" vertical="center" wrapText="1"/>
    </xf>
    <xf numFmtId="0" fontId="13" fillId="5" borderId="22" xfId="0" applyFont="1" applyFill="1" applyBorder="1" applyAlignment="1">
      <alignment horizontal="left" vertical="center" wrapText="1"/>
    </xf>
    <xf numFmtId="0" fontId="13" fillId="5" borderId="0" xfId="0" applyFont="1" applyFill="1" applyAlignment="1">
      <alignment horizontal="left" vertical="center" wrapText="1"/>
    </xf>
    <xf numFmtId="0" fontId="13" fillId="5" borderId="23" xfId="0" applyFont="1" applyFill="1" applyBorder="1" applyAlignment="1">
      <alignment horizontal="left" vertical="center" wrapText="1"/>
    </xf>
    <xf numFmtId="0" fontId="13" fillId="5" borderId="24" xfId="0" applyFont="1" applyFill="1" applyBorder="1" applyAlignment="1">
      <alignment horizontal="left" vertical="center" wrapText="1"/>
    </xf>
    <xf numFmtId="0" fontId="13" fillId="5" borderId="25" xfId="0" applyFont="1" applyFill="1" applyBorder="1" applyAlignment="1">
      <alignment horizontal="left" vertical="center" wrapText="1"/>
    </xf>
    <xf numFmtId="0" fontId="13" fillId="5" borderId="26" xfId="0" applyFont="1" applyFill="1" applyBorder="1" applyAlignment="1">
      <alignment horizontal="left" vertical="center" wrapText="1"/>
    </xf>
    <xf numFmtId="166" fontId="12" fillId="11" borderId="15" xfId="0" applyNumberFormat="1" applyFont="1" applyFill="1" applyBorder="1" applyAlignment="1">
      <alignment horizontal="center" vertical="center"/>
    </xf>
    <xf numFmtId="166" fontId="12" fillId="11" borderId="16" xfId="0" applyNumberFormat="1" applyFont="1" applyFill="1" applyBorder="1" applyAlignment="1">
      <alignment horizontal="center" vertical="center"/>
    </xf>
    <xf numFmtId="166" fontId="12" fillId="11" borderId="17" xfId="0" applyNumberFormat="1" applyFont="1" applyFill="1" applyBorder="1" applyAlignment="1">
      <alignment horizontal="center" vertical="center"/>
    </xf>
    <xf numFmtId="166" fontId="12" fillId="11" borderId="18" xfId="0" applyNumberFormat="1" applyFont="1" applyFill="1" applyBorder="1" applyAlignment="1">
      <alignment horizontal="center" vertical="center"/>
    </xf>
    <xf numFmtId="165" fontId="12" fillId="11" borderId="15" xfId="0" applyNumberFormat="1" applyFont="1" applyFill="1" applyBorder="1" applyAlignment="1">
      <alignment horizontal="center" vertical="center"/>
    </xf>
    <xf numFmtId="165" fontId="12" fillId="11" borderId="16" xfId="0" applyNumberFormat="1" applyFont="1" applyFill="1" applyBorder="1" applyAlignment="1">
      <alignment horizontal="center" vertical="center"/>
    </xf>
    <xf numFmtId="165" fontId="12" fillId="11" borderId="17" xfId="0" applyNumberFormat="1" applyFont="1" applyFill="1" applyBorder="1" applyAlignment="1">
      <alignment horizontal="center" vertical="center"/>
    </xf>
    <xf numFmtId="165" fontId="12" fillId="11" borderId="18" xfId="0" applyNumberFormat="1" applyFont="1" applyFill="1" applyBorder="1" applyAlignment="1">
      <alignment horizontal="center" vertical="center"/>
    </xf>
    <xf numFmtId="0" fontId="1" fillId="2" borderId="0" xfId="0" applyFont="1" applyFill="1" applyAlignment="1">
      <alignment vertical="center"/>
    </xf>
    <xf numFmtId="0" fontId="9" fillId="7" borderId="0" xfId="0" applyFont="1" applyFill="1" applyAlignment="1">
      <alignment horizontal="center" vertical="center"/>
    </xf>
    <xf numFmtId="166" fontId="10" fillId="8" borderId="8" xfId="0" applyNumberFormat="1" applyFont="1" applyFill="1" applyBorder="1" applyAlignment="1">
      <alignment horizontal="center" vertical="center"/>
    </xf>
    <xf numFmtId="166" fontId="10" fillId="8" borderId="9" xfId="0" applyNumberFormat="1" applyFont="1" applyFill="1" applyBorder="1" applyAlignment="1">
      <alignment horizontal="center" vertical="center"/>
    </xf>
    <xf numFmtId="166" fontId="10" fillId="8" borderId="10" xfId="0" applyNumberFormat="1" applyFont="1" applyFill="1" applyBorder="1" applyAlignment="1">
      <alignment horizontal="center" vertical="center"/>
    </xf>
    <xf numFmtId="166" fontId="10" fillId="8" borderId="11" xfId="0" applyNumberFormat="1" applyFont="1" applyFill="1" applyBorder="1" applyAlignment="1">
      <alignment horizontal="center" vertical="center"/>
    </xf>
    <xf numFmtId="0" fontId="20" fillId="2" borderId="0" xfId="0" applyFont="1" applyFill="1" applyAlignment="1">
      <alignment vertical="center" wrapText="1"/>
    </xf>
    <xf numFmtId="0" fontId="16" fillId="2" borderId="0" xfId="0" applyFont="1" applyFill="1" applyAlignment="1">
      <alignment horizontal="center" vertical="center" wrapText="1"/>
    </xf>
    <xf numFmtId="0" fontId="17" fillId="9" borderId="12" xfId="0" applyFont="1" applyFill="1" applyBorder="1" applyAlignment="1">
      <alignment horizontal="left" vertical="center" wrapText="1"/>
    </xf>
    <xf numFmtId="0" fontId="2" fillId="10" borderId="27" xfId="0" applyFont="1" applyFill="1" applyBorder="1" applyAlignment="1">
      <alignment vertical="center" wrapText="1"/>
    </xf>
    <xf numFmtId="0" fontId="2" fillId="10" borderId="28" xfId="0" applyFont="1" applyFill="1" applyBorder="1" applyAlignment="1">
      <alignment vertical="center" wrapText="1"/>
    </xf>
    <xf numFmtId="0" fontId="2" fillId="10" borderId="29" xfId="0" applyFont="1" applyFill="1" applyBorder="1" applyAlignment="1">
      <alignment vertical="center" wrapText="1"/>
    </xf>
    <xf numFmtId="0" fontId="2" fillId="10" borderId="30" xfId="0" applyFont="1" applyFill="1" applyBorder="1" applyAlignment="1">
      <alignment vertical="center" wrapText="1"/>
    </xf>
    <xf numFmtId="0" fontId="2" fillId="10" borderId="31" xfId="0" applyFont="1" applyFill="1" applyBorder="1" applyAlignment="1">
      <alignment vertical="center" wrapText="1"/>
    </xf>
    <xf numFmtId="0" fontId="2" fillId="10" borderId="32" xfId="0" applyFont="1" applyFill="1" applyBorder="1" applyAlignment="1">
      <alignment vertical="center" wrapText="1"/>
    </xf>
    <xf numFmtId="0" fontId="2" fillId="10" borderId="12" xfId="0" applyFont="1" applyFill="1" applyBorder="1" applyAlignment="1">
      <alignment vertical="center" wrapText="1"/>
    </xf>
    <xf numFmtId="0" fontId="2" fillId="10" borderId="33" xfId="0" applyFont="1" applyFill="1" applyBorder="1" applyAlignment="1">
      <alignment vertical="center" wrapText="1"/>
    </xf>
    <xf numFmtId="0" fontId="18" fillId="12" borderId="34" xfId="0" applyFont="1" applyFill="1" applyBorder="1" applyAlignment="1">
      <alignment vertical="center" wrapText="1"/>
    </xf>
    <xf numFmtId="0" fontId="18" fillId="12" borderId="35" xfId="0" applyFont="1" applyFill="1" applyBorder="1" applyAlignment="1">
      <alignment vertical="center" wrapText="1"/>
    </xf>
    <xf numFmtId="0" fontId="18" fillId="12" borderId="36" xfId="0" applyFont="1" applyFill="1" applyBorder="1" applyAlignment="1">
      <alignment vertical="center" wrapText="1"/>
    </xf>
    <xf numFmtId="0" fontId="18" fillId="12" borderId="37" xfId="0" applyFont="1" applyFill="1" applyBorder="1" applyAlignment="1">
      <alignment vertical="center" wrapText="1"/>
    </xf>
    <xf numFmtId="0" fontId="18" fillId="12" borderId="38" xfId="0" applyFont="1" applyFill="1" applyBorder="1" applyAlignment="1">
      <alignment vertical="center" wrapText="1"/>
    </xf>
    <xf numFmtId="0" fontId="18" fillId="12" borderId="39" xfId="0" applyFont="1" applyFill="1" applyBorder="1" applyAlignment="1">
      <alignment vertical="center" wrapText="1"/>
    </xf>
    <xf numFmtId="0" fontId="18" fillId="12" borderId="40" xfId="0" applyFont="1" applyFill="1" applyBorder="1" applyAlignment="1">
      <alignment vertical="center" wrapText="1"/>
    </xf>
    <xf numFmtId="0" fontId="18" fillId="12" borderId="41" xfId="0" applyFont="1" applyFill="1" applyBorder="1" applyAlignment="1">
      <alignment vertical="center" wrapText="1"/>
    </xf>
    <xf numFmtId="0" fontId="17" fillId="9" borderId="0" xfId="0" applyFont="1" applyFill="1" applyBorder="1" applyAlignment="1">
      <alignment vertical="center" wrapText="1"/>
    </xf>
    <xf numFmtId="0" fontId="17" fillId="9" borderId="0" xfId="0" applyFont="1" applyFill="1" applyBorder="1" applyAlignment="1">
      <alignment horizontal="left" vertical="center" wrapText="1"/>
    </xf>
    <xf numFmtId="0" fontId="18" fillId="12" borderId="0" xfId="0" applyFont="1" applyFill="1" applyBorder="1" applyAlignment="1">
      <alignment vertical="center" wrapText="1"/>
    </xf>
    <xf numFmtId="0" fontId="3" fillId="4" borderId="40" xfId="0" applyFont="1" applyFill="1" applyBorder="1" applyAlignment="1">
      <alignment vertical="center"/>
    </xf>
    <xf numFmtId="0" fontId="2" fillId="10" borderId="0" xfId="0" applyFont="1" applyFill="1" applyBorder="1" applyAlignment="1">
      <alignment vertical="center" wrapText="1"/>
    </xf>
    <xf numFmtId="0" fontId="3" fillId="4" borderId="12" xfId="0" applyFont="1" applyFill="1" applyBorder="1" applyAlignment="1">
      <alignment vertical="center"/>
    </xf>
    <xf numFmtId="0" fontId="3" fillId="4" borderId="0" xfId="0" applyFont="1" applyFill="1" applyAlignment="1">
      <alignment horizontal="left" vertical="center"/>
    </xf>
    <xf numFmtId="0" fontId="17" fillId="9" borderId="0" xfId="0" applyFont="1" applyFill="1" applyBorder="1" applyAlignment="1">
      <alignment horizontal="left" vertical="center" wrapText="1"/>
    </xf>
  </cellXfs>
  <cellStyles count="1">
    <cellStyle name="Normal" xfId="0" builtinId="0"/>
  </cellStyles>
  <dxfs count="1">
    <dxf>
      <font>
        <b/>
        <color rgb="FF19724C"/>
      </font>
      <fill>
        <patternFill patternType="solid">
          <bgColor rgb="FFE9F6E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3"/>
  <sheetViews>
    <sheetView showGridLines="0" tabSelected="1" topLeftCell="A13" workbookViewId="0">
      <selection activeCell="C11" sqref="C11"/>
    </sheetView>
  </sheetViews>
  <sheetFormatPr defaultRowHeight="14"/>
  <cols>
    <col min="1" max="1" width="34" customWidth="1"/>
    <col min="2" max="2" width="16" customWidth="1"/>
    <col min="3" max="3" width="22" customWidth="1"/>
    <col min="4" max="6" width="20" customWidth="1"/>
  </cols>
  <sheetData>
    <row r="1" spans="1:6" ht="34" customHeight="1">
      <c r="A1" s="39" t="s">
        <v>0</v>
      </c>
      <c r="B1" s="39"/>
      <c r="C1" s="39"/>
      <c r="D1" s="39"/>
      <c r="E1" s="39"/>
      <c r="F1" s="39"/>
    </row>
    <row r="2" spans="1:6" ht="28" customHeight="1">
      <c r="A2" s="40" t="s">
        <v>1</v>
      </c>
      <c r="B2" s="40"/>
      <c r="C2" s="40"/>
      <c r="D2" s="40"/>
      <c r="E2" s="40"/>
      <c r="F2" s="40"/>
    </row>
    <row r="3" spans="1:6" ht="14.5">
      <c r="A3" s="12"/>
      <c r="B3" s="12"/>
      <c r="C3" s="12"/>
      <c r="D3" s="12"/>
      <c r="E3" s="12"/>
      <c r="F3" s="12"/>
    </row>
    <row r="4" spans="1:6" ht="24" customHeight="1">
      <c r="A4" s="38" t="s">
        <v>2</v>
      </c>
      <c r="B4" s="38"/>
      <c r="C4" s="38"/>
      <c r="D4" s="38"/>
      <c r="E4" s="38"/>
      <c r="F4" s="38"/>
    </row>
    <row r="5" spans="1:6" ht="34" customHeight="1">
      <c r="A5" s="1" t="s">
        <v>3</v>
      </c>
      <c r="B5" s="3">
        <v>50000</v>
      </c>
      <c r="C5" s="2" t="s">
        <v>4</v>
      </c>
      <c r="D5" s="34" t="s">
        <v>5</v>
      </c>
      <c r="E5" s="34"/>
      <c r="F5" s="34"/>
    </row>
    <row r="6" spans="1:6" ht="34" customHeight="1">
      <c r="A6" s="12"/>
      <c r="B6" s="12"/>
      <c r="C6" s="12"/>
      <c r="D6" s="12"/>
      <c r="E6" s="12"/>
      <c r="F6" s="12"/>
    </row>
    <row r="7" spans="1:6" ht="34" customHeight="1">
      <c r="A7" s="38" t="s">
        <v>6</v>
      </c>
      <c r="B7" s="38"/>
      <c r="C7" s="38"/>
      <c r="D7" s="38"/>
      <c r="E7" s="38"/>
      <c r="F7" s="38"/>
    </row>
    <row r="8" spans="1:6" ht="34" customHeight="1">
      <c r="A8" s="1" t="s">
        <v>7</v>
      </c>
      <c r="B8" s="4">
        <v>8100</v>
      </c>
      <c r="C8" s="2" t="s">
        <v>8</v>
      </c>
      <c r="D8" s="34" t="s">
        <v>9</v>
      </c>
      <c r="E8" s="34"/>
      <c r="F8" s="34"/>
    </row>
    <row r="9" spans="1:6" ht="34" customHeight="1">
      <c r="A9" s="1" t="s">
        <v>10</v>
      </c>
      <c r="B9" s="5">
        <v>400</v>
      </c>
      <c r="C9" s="2" t="s">
        <v>8</v>
      </c>
      <c r="D9" s="34" t="s">
        <v>11</v>
      </c>
      <c r="E9" s="34"/>
      <c r="F9" s="34"/>
    </row>
    <row r="10" spans="1:6" ht="34" customHeight="1">
      <c r="A10" s="1" t="s">
        <v>12</v>
      </c>
      <c r="B10" s="6">
        <v>0</v>
      </c>
      <c r="C10" s="2" t="s">
        <v>8</v>
      </c>
      <c r="D10" s="34" t="s">
        <v>13</v>
      </c>
      <c r="E10" s="34"/>
      <c r="F10" s="34"/>
    </row>
    <row r="11" spans="1:6" ht="34" customHeight="1">
      <c r="A11" s="12"/>
      <c r="B11" s="12"/>
      <c r="C11" s="12"/>
      <c r="D11" s="12"/>
      <c r="E11" s="12"/>
      <c r="F11" s="12"/>
    </row>
    <row r="12" spans="1:6" ht="34" customHeight="1">
      <c r="A12" s="38" t="s">
        <v>14</v>
      </c>
      <c r="B12" s="38"/>
      <c r="C12" s="38"/>
      <c r="D12" s="38"/>
      <c r="E12" s="38"/>
      <c r="F12" s="38"/>
    </row>
    <row r="13" spans="1:6" ht="34" customHeight="1">
      <c r="A13" s="1" t="s">
        <v>15</v>
      </c>
      <c r="B13" s="7">
        <v>3</v>
      </c>
      <c r="C13" s="2" t="s">
        <v>16</v>
      </c>
      <c r="D13" s="34" t="s">
        <v>17</v>
      </c>
      <c r="E13" s="34"/>
      <c r="F13" s="34"/>
    </row>
    <row r="14" spans="1:6" ht="34" customHeight="1">
      <c r="A14" s="1" t="s">
        <v>18</v>
      </c>
      <c r="B14" s="8">
        <v>15</v>
      </c>
      <c r="C14" s="2" t="s">
        <v>16</v>
      </c>
      <c r="D14" s="34" t="s">
        <v>19</v>
      </c>
      <c r="E14" s="34"/>
      <c r="F14" s="34"/>
    </row>
    <row r="15" spans="1:6" ht="34" customHeight="1">
      <c r="A15" s="12"/>
      <c r="B15" s="12"/>
      <c r="C15" s="12"/>
      <c r="D15" s="12"/>
      <c r="E15" s="12"/>
      <c r="F15" s="12"/>
    </row>
    <row r="16" spans="1:6" ht="34" customHeight="1">
      <c r="A16" s="38" t="s">
        <v>20</v>
      </c>
      <c r="B16" s="38"/>
      <c r="C16" s="38"/>
      <c r="D16" s="38"/>
      <c r="E16" s="38"/>
      <c r="F16" s="38"/>
    </row>
    <row r="17" spans="1:6" ht="34" customHeight="1">
      <c r="A17" s="1" t="s">
        <v>21</v>
      </c>
      <c r="B17" s="9">
        <v>0</v>
      </c>
      <c r="C17" s="2" t="s">
        <v>22</v>
      </c>
      <c r="D17" s="34" t="s">
        <v>23</v>
      </c>
      <c r="E17" s="34"/>
      <c r="F17" s="34"/>
    </row>
    <row r="18" spans="1:6" ht="34" customHeight="1">
      <c r="A18" s="1" t="s">
        <v>24</v>
      </c>
      <c r="B18" s="10">
        <v>0.1</v>
      </c>
      <c r="C18" s="2" t="s">
        <v>25</v>
      </c>
      <c r="D18" s="34" t="s">
        <v>26</v>
      </c>
      <c r="E18" s="34"/>
      <c r="F18" s="34"/>
    </row>
    <row r="19" spans="1:6" ht="34" customHeight="1">
      <c r="A19" s="1" t="s">
        <v>27</v>
      </c>
      <c r="B19" s="10">
        <v>0</v>
      </c>
      <c r="C19" s="2" t="s">
        <v>28</v>
      </c>
      <c r="D19" s="34" t="s">
        <v>29</v>
      </c>
      <c r="E19" s="34"/>
      <c r="F19" s="34"/>
    </row>
    <row r="20" spans="1:6" ht="34" customHeight="1">
      <c r="A20" s="1" t="s">
        <v>30</v>
      </c>
      <c r="B20" s="10">
        <v>0.5</v>
      </c>
      <c r="C20" s="2" t="s">
        <v>31</v>
      </c>
      <c r="D20" s="34" t="s">
        <v>32</v>
      </c>
      <c r="E20" s="34"/>
      <c r="F20" s="34"/>
    </row>
    <row r="21" spans="1:6" ht="34" customHeight="1">
      <c r="A21" s="1" t="s">
        <v>33</v>
      </c>
      <c r="B21" s="11">
        <v>0</v>
      </c>
      <c r="C21" s="2" t="s">
        <v>34</v>
      </c>
      <c r="D21" s="34" t="s">
        <v>35</v>
      </c>
      <c r="E21" s="34"/>
      <c r="F21" s="34"/>
    </row>
    <row r="22" spans="1:6" ht="14.5">
      <c r="A22" s="12"/>
      <c r="B22" s="12"/>
      <c r="C22" s="12"/>
      <c r="D22" s="12"/>
      <c r="E22" s="12"/>
      <c r="F22" s="12"/>
    </row>
    <row r="23" spans="1:6" ht="32" customHeight="1">
      <c r="A23" s="35" t="s">
        <v>36</v>
      </c>
      <c r="B23" s="36"/>
      <c r="C23" s="36"/>
      <c r="D23" s="36"/>
      <c r="E23" s="36"/>
      <c r="F23" s="37"/>
    </row>
  </sheetData>
  <mergeCells count="18">
    <mergeCell ref="A1:F1"/>
    <mergeCell ref="A2:F2"/>
    <mergeCell ref="A4:F4"/>
    <mergeCell ref="D5:F5"/>
    <mergeCell ref="A7:F7"/>
    <mergeCell ref="D8:F8"/>
    <mergeCell ref="D9:F9"/>
    <mergeCell ref="D10:F10"/>
    <mergeCell ref="A12:F12"/>
    <mergeCell ref="D13:F13"/>
    <mergeCell ref="D20:F20"/>
    <mergeCell ref="D21:F21"/>
    <mergeCell ref="A23:F23"/>
    <mergeCell ref="D14:F14"/>
    <mergeCell ref="A16:F16"/>
    <mergeCell ref="D17:F17"/>
    <mergeCell ref="D18:F18"/>
    <mergeCell ref="D19:F19"/>
  </mergeCells>
  <dataValidations count="3">
    <dataValidation type="whole" operator="greaterThanOrEqual" sqref="B5 B8:B10" xr:uid="{00000000-0002-0000-0000-000000000000}">
      <formula1>0</formula1>
    </dataValidation>
    <dataValidation type="decimal" operator="greaterThanOrEqual" sqref="B13:B14" xr:uid="{00000000-0002-0000-0000-000002000000}">
      <formula1>0</formula1>
    </dataValidation>
    <dataValidation type="decimal" sqref="B17:B21" xr:uid="{00000000-0002-0000-0000-000003000000}">
      <formula1>0</formula1>
      <formula2>1</formula2>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1"/>
  <sheetViews>
    <sheetView showGridLines="0" topLeftCell="A18" workbookViewId="0">
      <selection activeCell="A29" sqref="A29:H31"/>
    </sheetView>
  </sheetViews>
  <sheetFormatPr defaultRowHeight="14"/>
  <cols>
    <col min="1" max="1" width="23" customWidth="1"/>
    <col min="2" max="8" width="16" customWidth="1"/>
  </cols>
  <sheetData>
    <row r="1" spans="1:8" ht="34" customHeight="1">
      <c r="A1" s="58" t="s">
        <v>37</v>
      </c>
      <c r="B1" s="58"/>
      <c r="C1" s="58"/>
      <c r="D1" s="58"/>
      <c r="E1" s="58"/>
      <c r="F1" s="58"/>
      <c r="G1" s="58"/>
      <c r="H1" s="58"/>
    </row>
    <row r="2" spans="1:8" ht="26" customHeight="1">
      <c r="A2" s="40" t="s">
        <v>38</v>
      </c>
      <c r="B2" s="40"/>
      <c r="C2" s="40"/>
      <c r="D2" s="40"/>
      <c r="E2" s="40"/>
      <c r="F2" s="40"/>
      <c r="G2" s="40"/>
      <c r="H2" s="40"/>
    </row>
    <row r="4" spans="1:8" ht="24" customHeight="1">
      <c r="A4" s="59" t="s">
        <v>39</v>
      </c>
      <c r="B4" s="59"/>
      <c r="D4" s="59" t="s">
        <v>40</v>
      </c>
      <c r="E4" s="59"/>
      <c r="G4" s="59" t="s">
        <v>41</v>
      </c>
      <c r="H4" s="59"/>
    </row>
    <row r="5" spans="1:8" ht="26" customHeight="1">
      <c r="A5" s="60">
        <f>SUM(B11:B13)</f>
        <v>1515</v>
      </c>
      <c r="B5" s="61"/>
      <c r="D5" s="60">
        <f>A5*12</f>
        <v>18180</v>
      </c>
      <c r="E5" s="61"/>
      <c r="G5" s="60">
        <f>IF(Inputs!$B$5=0,0,A5/Inputs!$B$5)</f>
        <v>3.0300000000000001E-2</v>
      </c>
      <c r="H5" s="61"/>
    </row>
    <row r="6" spans="1:8" ht="26" customHeight="1">
      <c r="A6" s="62"/>
      <c r="B6" s="63"/>
      <c r="D6" s="62"/>
      <c r="E6" s="63"/>
      <c r="G6" s="62"/>
      <c r="H6" s="63"/>
    </row>
    <row r="8" spans="1:8" ht="24" customHeight="1">
      <c r="A8" s="38" t="s">
        <v>42</v>
      </c>
      <c r="B8" s="38"/>
      <c r="C8" s="38"/>
      <c r="D8" s="38"/>
      <c r="E8" s="38"/>
      <c r="F8" s="38"/>
      <c r="G8" s="38"/>
      <c r="H8" s="38"/>
    </row>
    <row r="10" spans="1:8">
      <c r="A10" s="13" t="s">
        <v>43</v>
      </c>
      <c r="B10" s="13" t="s">
        <v>44</v>
      </c>
      <c r="C10" s="13" t="s">
        <v>45</v>
      </c>
      <c r="D10" s="13" t="s">
        <v>46</v>
      </c>
    </row>
    <row r="11" spans="1:8">
      <c r="A11" s="14" t="s">
        <v>47</v>
      </c>
      <c r="B11" s="17">
        <f>(Inputs!$B$5*Inputs!$B$8/1000000*Inputs!$B$13*((1-Inputs!$B$17)+(Inputs!$B$17*Inputs!$B$18)))*(1-Inputs!$B$19*Inputs!$B$20)*(1+Inputs!$B$21)</f>
        <v>1215</v>
      </c>
      <c r="C11" s="17">
        <f>B11*12</f>
        <v>14580</v>
      </c>
      <c r="D11" s="20">
        <f>IF($B$14=0,0,B11/$B$14)</f>
        <v>0.80198019801980203</v>
      </c>
    </row>
    <row r="12" spans="1:8">
      <c r="A12" s="15" t="s">
        <v>48</v>
      </c>
      <c r="B12" s="18">
        <f>(Inputs!$B$5*Inputs!$B$9/1000000*Inputs!$B$14)*(1-Inputs!$B$19*Inputs!$B$20)*(1+Inputs!$B$21)</f>
        <v>300</v>
      </c>
      <c r="C12" s="18">
        <f>B12*12</f>
        <v>3600</v>
      </c>
      <c r="D12" s="21">
        <f>IF($B$14=0,0,B12/$B$14)</f>
        <v>0.19801980198019803</v>
      </c>
    </row>
    <row r="13" spans="1:8">
      <c r="A13" s="15" t="s">
        <v>49</v>
      </c>
      <c r="B13" s="18">
        <f>(Inputs!$B$5*Inputs!$B$10/1000000*Inputs!$B$14)*(1-Inputs!$B$19*Inputs!$B$20)*(1+Inputs!$B$21)</f>
        <v>0</v>
      </c>
      <c r="C13" s="18">
        <f>B13*12</f>
        <v>0</v>
      </c>
      <c r="D13" s="21">
        <f>IF($B$14=0,0,B13/$B$14)</f>
        <v>0</v>
      </c>
    </row>
    <row r="14" spans="1:8">
      <c r="A14" s="16" t="s">
        <v>50</v>
      </c>
      <c r="B14" s="19">
        <f>SUM(B11:B13)</f>
        <v>1515</v>
      </c>
      <c r="C14" s="19">
        <f>B14*12</f>
        <v>18180</v>
      </c>
      <c r="D14" s="22">
        <f>IF($B$14=0,0,SUM(D11:D13))</f>
        <v>1</v>
      </c>
    </row>
    <row r="16" spans="1:8" ht="24" customHeight="1">
      <c r="A16" s="38" t="s">
        <v>51</v>
      </c>
      <c r="B16" s="38"/>
      <c r="C16" s="38"/>
      <c r="D16" s="38"/>
      <c r="E16" s="38"/>
      <c r="F16" s="38"/>
      <c r="G16" s="38"/>
      <c r="H16" s="38"/>
    </row>
    <row r="18" spans="1:8" ht="24">
      <c r="A18" s="23" t="s">
        <v>52</v>
      </c>
      <c r="B18" s="23"/>
      <c r="C18" s="23" t="s">
        <v>53</v>
      </c>
      <c r="D18" s="23"/>
      <c r="E18" s="23" t="s">
        <v>54</v>
      </c>
      <c r="F18" s="23"/>
      <c r="G18" s="23" t="s">
        <v>55</v>
      </c>
      <c r="H18" s="23"/>
    </row>
    <row r="19" spans="1:8">
      <c r="A19" s="50">
        <f>(Inputs!$B$5*Inputs!$B$8/1000000*Inputs!$B$13)*(1+Inputs!$B$21)+(Inputs!$B$5*Inputs!$B$9/1000000*Inputs!$B$14)*(1+Inputs!$B$21)+(Inputs!$B$5*Inputs!$B$10/1000000*Inputs!$B$14)*(1+Inputs!$B$21)</f>
        <v>1515</v>
      </c>
      <c r="B19" s="51"/>
      <c r="C19" s="50">
        <f>$B$14</f>
        <v>1515</v>
      </c>
      <c r="D19" s="51"/>
      <c r="E19" s="50">
        <f>MAX(0,A19-C19)</f>
        <v>0</v>
      </c>
      <c r="F19" s="51"/>
      <c r="G19" s="54">
        <f>IF(A19=0,0,E19/A19)</f>
        <v>0</v>
      </c>
      <c r="H19" s="55"/>
    </row>
    <row r="20" spans="1:8">
      <c r="A20" s="52"/>
      <c r="B20" s="53"/>
      <c r="C20" s="52"/>
      <c r="D20" s="53"/>
      <c r="E20" s="52"/>
      <c r="F20" s="53"/>
      <c r="G20" s="56"/>
      <c r="H20" s="57"/>
    </row>
    <row r="22" spans="1:8" ht="24" customHeight="1">
      <c r="A22" s="38" t="s">
        <v>56</v>
      </c>
      <c r="B22" s="38"/>
      <c r="C22" s="38"/>
      <c r="D22" s="38"/>
      <c r="E22" s="38"/>
      <c r="F22" s="38"/>
      <c r="G22" s="38"/>
      <c r="H22" s="38"/>
    </row>
    <row r="24" spans="1:8">
      <c r="A24" s="13" t="s">
        <v>57</v>
      </c>
      <c r="B24" s="13" t="s">
        <v>58</v>
      </c>
      <c r="C24" s="13" t="s">
        <v>59</v>
      </c>
      <c r="D24" s="13" t="s">
        <v>44</v>
      </c>
      <c r="E24" s="13" t="s">
        <v>45</v>
      </c>
    </row>
    <row r="25" spans="1:8">
      <c r="A25" s="14" t="s">
        <v>60</v>
      </c>
      <c r="B25" s="24">
        <v>0.5</v>
      </c>
      <c r="C25" s="26">
        <f>Inputs!$B$5*B25</f>
        <v>25000</v>
      </c>
      <c r="D25" s="17">
        <f>$B$14*B25</f>
        <v>757.5</v>
      </c>
      <c r="E25" s="17">
        <f>D25*12</f>
        <v>9090</v>
      </c>
    </row>
    <row r="26" spans="1:8">
      <c r="A26" s="15" t="s">
        <v>61</v>
      </c>
      <c r="B26" s="25">
        <v>1</v>
      </c>
      <c r="C26" s="27">
        <f>Inputs!$B$5*B26</f>
        <v>50000</v>
      </c>
      <c r="D26" s="18">
        <f>$B$14*B26</f>
        <v>1515</v>
      </c>
      <c r="E26" s="18">
        <f>D26*12</f>
        <v>18180</v>
      </c>
    </row>
    <row r="27" spans="1:8">
      <c r="A27" s="15" t="s">
        <v>62</v>
      </c>
      <c r="B27" s="25">
        <v>3</v>
      </c>
      <c r="C27" s="27">
        <f>Inputs!$B$5*B27</f>
        <v>150000</v>
      </c>
      <c r="D27" s="18">
        <f>$B$14*B27</f>
        <v>4545</v>
      </c>
      <c r="E27" s="18">
        <f>D27*12</f>
        <v>54540</v>
      </c>
    </row>
    <row r="29" spans="1:8" ht="26" customHeight="1">
      <c r="A29" s="41" t="s">
        <v>63</v>
      </c>
      <c r="B29" s="42"/>
      <c r="C29" s="42"/>
      <c r="D29" s="42"/>
      <c r="E29" s="42"/>
      <c r="F29" s="42"/>
      <c r="G29" s="42"/>
      <c r="H29" s="43"/>
    </row>
    <row r="30" spans="1:8" ht="26" customHeight="1">
      <c r="A30" s="44"/>
      <c r="B30" s="45"/>
      <c r="C30" s="45"/>
      <c r="D30" s="45"/>
      <c r="E30" s="45"/>
      <c r="F30" s="45"/>
      <c r="G30" s="45"/>
      <c r="H30" s="46"/>
    </row>
    <row r="31" spans="1:8" ht="26" customHeight="1">
      <c r="A31" s="47"/>
      <c r="B31" s="48"/>
      <c r="C31" s="48"/>
      <c r="D31" s="48"/>
      <c r="E31" s="48"/>
      <c r="F31" s="48"/>
      <c r="G31" s="48"/>
      <c r="H31" s="49"/>
    </row>
  </sheetData>
  <mergeCells count="16">
    <mergeCell ref="A1:H1"/>
    <mergeCell ref="A2:H2"/>
    <mergeCell ref="A4:B4"/>
    <mergeCell ref="A5:B6"/>
    <mergeCell ref="D4:E4"/>
    <mergeCell ref="D5:E6"/>
    <mergeCell ref="G4:H4"/>
    <mergeCell ref="G5:H6"/>
    <mergeCell ref="A22:H22"/>
    <mergeCell ref="A29:H31"/>
    <mergeCell ref="A8:H8"/>
    <mergeCell ref="A16:H16"/>
    <mergeCell ref="A19:B20"/>
    <mergeCell ref="C19:D20"/>
    <mergeCell ref="E19:F20"/>
    <mergeCell ref="G19:H20"/>
  </mergeCells>
  <conditionalFormatting sqref="G19:H20">
    <cfRule type="cellIs" dxfId="0" priority="1" operator="greaterThan">
      <formula>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60"/>
  <sheetViews>
    <sheetView showGridLines="0" workbookViewId="0">
      <selection activeCell="A42" sqref="A42:F42"/>
    </sheetView>
  </sheetViews>
  <sheetFormatPr defaultRowHeight="14"/>
  <cols>
    <col min="1" max="1" width="24" customWidth="1"/>
    <col min="2" max="2" width="27" customWidth="1"/>
    <col min="3" max="3" width="14" customWidth="1"/>
    <col min="4" max="4" width="31" customWidth="1"/>
    <col min="5" max="5" width="15" customWidth="1"/>
    <col min="6" max="6" width="36" customWidth="1"/>
  </cols>
  <sheetData>
    <row r="1" spans="1:6" ht="34" customHeight="1">
      <c r="A1" s="58" t="s">
        <v>64</v>
      </c>
      <c r="B1" s="58"/>
      <c r="C1" s="58"/>
      <c r="D1" s="58"/>
      <c r="E1" s="58"/>
      <c r="F1" s="58"/>
    </row>
    <row r="2" spans="1:6" ht="34" customHeight="1">
      <c r="A2" s="40" t="s">
        <v>65</v>
      </c>
      <c r="B2" s="40"/>
      <c r="C2" s="40"/>
      <c r="D2" s="40"/>
      <c r="E2" s="40"/>
      <c r="F2" s="40"/>
    </row>
    <row r="4" spans="1:6" ht="24" customHeight="1">
      <c r="A4" s="38" t="s">
        <v>66</v>
      </c>
      <c r="B4" s="38"/>
      <c r="C4" s="38"/>
      <c r="D4" s="38"/>
      <c r="E4" s="38"/>
      <c r="F4" s="38"/>
    </row>
    <row r="5" spans="1:6" ht="32" customHeight="1">
      <c r="A5" s="28">
        <v>1</v>
      </c>
      <c r="B5" s="34" t="s">
        <v>67</v>
      </c>
      <c r="C5" s="34"/>
      <c r="D5" s="34"/>
      <c r="E5" s="34"/>
      <c r="F5" s="34"/>
    </row>
    <row r="6" spans="1:6" ht="32" customHeight="1">
      <c r="A6" s="28">
        <v>2</v>
      </c>
      <c r="B6" s="34" t="s">
        <v>68</v>
      </c>
      <c r="C6" s="34"/>
      <c r="D6" s="34"/>
      <c r="E6" s="34"/>
      <c r="F6" s="34"/>
    </row>
    <row r="7" spans="1:6" ht="32" customHeight="1">
      <c r="A7" s="28">
        <v>3</v>
      </c>
      <c r="B7" s="34" t="s">
        <v>69</v>
      </c>
      <c r="C7" s="34"/>
      <c r="D7" s="34"/>
      <c r="E7" s="34"/>
      <c r="F7" s="34"/>
    </row>
    <row r="8" spans="1:6" ht="32" customHeight="1">
      <c r="A8" s="28">
        <v>4</v>
      </c>
      <c r="B8" s="34" t="s">
        <v>70</v>
      </c>
      <c r="C8" s="34"/>
      <c r="D8" s="34"/>
      <c r="E8" s="34"/>
      <c r="F8" s="34"/>
    </row>
    <row r="10" spans="1:6" ht="24" customHeight="1">
      <c r="A10" s="38" t="s">
        <v>71</v>
      </c>
      <c r="B10" s="38"/>
      <c r="C10" s="38"/>
      <c r="D10" s="38"/>
      <c r="E10" s="38"/>
      <c r="F10" s="38"/>
    </row>
    <row r="11" spans="1:6" ht="30" customHeight="1">
      <c r="A11" s="29" t="s">
        <v>72</v>
      </c>
      <c r="B11" s="34" t="s">
        <v>73</v>
      </c>
      <c r="C11" s="34"/>
      <c r="D11" s="34"/>
      <c r="E11" s="34"/>
      <c r="F11" s="34"/>
    </row>
    <row r="12" spans="1:6" ht="30" customHeight="1">
      <c r="A12" s="29" t="s">
        <v>74</v>
      </c>
      <c r="B12" s="34" t="s">
        <v>75</v>
      </c>
      <c r="C12" s="34"/>
      <c r="D12" s="34"/>
      <c r="E12" s="34"/>
      <c r="F12" s="34"/>
    </row>
    <row r="13" spans="1:6" ht="30" customHeight="1">
      <c r="A13" s="29" t="s">
        <v>76</v>
      </c>
      <c r="B13" s="34" t="s">
        <v>77</v>
      </c>
      <c r="C13" s="34"/>
      <c r="D13" s="34"/>
      <c r="E13" s="34"/>
      <c r="F13" s="34"/>
    </row>
    <row r="14" spans="1:6" ht="30" customHeight="1">
      <c r="A14" s="29" t="s">
        <v>78</v>
      </c>
      <c r="B14" s="34" t="s">
        <v>79</v>
      </c>
      <c r="C14" s="34"/>
      <c r="D14" s="34"/>
      <c r="E14" s="34"/>
      <c r="F14" s="34"/>
    </row>
    <row r="15" spans="1:6" ht="30" customHeight="1">
      <c r="A15" s="29" t="s">
        <v>80</v>
      </c>
      <c r="B15" s="34" t="s">
        <v>81</v>
      </c>
      <c r="C15" s="34"/>
      <c r="D15" s="34"/>
      <c r="E15" s="34"/>
      <c r="F15" s="34"/>
    </row>
    <row r="17" spans="1:6" ht="24" customHeight="1">
      <c r="A17" s="38" t="s">
        <v>82</v>
      </c>
      <c r="B17" s="38"/>
      <c r="C17" s="38"/>
      <c r="D17" s="38"/>
      <c r="E17" s="38"/>
      <c r="F17" s="38"/>
    </row>
    <row r="19" spans="1:6">
      <c r="A19" s="30" t="s">
        <v>83</v>
      </c>
      <c r="B19" s="30" t="s">
        <v>84</v>
      </c>
      <c r="C19" s="30" t="s">
        <v>85</v>
      </c>
      <c r="D19" s="65" t="s">
        <v>86</v>
      </c>
      <c r="E19" s="65"/>
      <c r="F19" s="65"/>
    </row>
    <row r="20" spans="1:6" ht="54" customHeight="1">
      <c r="A20" s="32" t="s">
        <v>15</v>
      </c>
      <c r="B20" s="32" t="s">
        <v>87</v>
      </c>
      <c r="C20" s="32" t="s">
        <v>88</v>
      </c>
      <c r="D20" s="66" t="s">
        <v>89</v>
      </c>
      <c r="E20" s="66"/>
      <c r="F20" s="66"/>
    </row>
    <row r="21" spans="1:6" ht="54" customHeight="1">
      <c r="A21" s="33" t="s">
        <v>90</v>
      </c>
      <c r="B21" s="33" t="s">
        <v>91</v>
      </c>
      <c r="C21" s="33" t="s">
        <v>88</v>
      </c>
      <c r="D21" s="66" t="s">
        <v>92</v>
      </c>
      <c r="E21" s="66"/>
      <c r="F21" s="66"/>
    </row>
    <row r="22" spans="1:6" ht="54" customHeight="1">
      <c r="A22" s="33" t="s">
        <v>24</v>
      </c>
      <c r="B22" s="33" t="s">
        <v>93</v>
      </c>
      <c r="C22" s="33" t="s">
        <v>88</v>
      </c>
      <c r="D22" s="66" t="s">
        <v>94</v>
      </c>
      <c r="E22" s="66"/>
      <c r="F22" s="66"/>
    </row>
    <row r="23" spans="1:6" ht="54" customHeight="1">
      <c r="A23" s="33" t="s">
        <v>95</v>
      </c>
      <c r="B23" s="33" t="s">
        <v>96</v>
      </c>
      <c r="C23" s="33" t="s">
        <v>88</v>
      </c>
      <c r="D23" s="66" t="s">
        <v>97</v>
      </c>
      <c r="E23" s="66"/>
      <c r="F23" s="66"/>
    </row>
    <row r="24" spans="1:6" ht="54" customHeight="1">
      <c r="A24" s="33" t="s">
        <v>33</v>
      </c>
      <c r="B24" s="33" t="s">
        <v>98</v>
      </c>
      <c r="C24" s="33" t="s">
        <v>88</v>
      </c>
      <c r="D24" s="66" t="s">
        <v>99</v>
      </c>
      <c r="E24" s="66"/>
      <c r="F24" s="66"/>
    </row>
    <row r="25" spans="1:6" ht="28.5" customHeight="1">
      <c r="A25" s="83"/>
      <c r="B25" s="83"/>
      <c r="C25" s="83"/>
      <c r="D25" s="84"/>
      <c r="E25" s="84"/>
      <c r="F25" s="84"/>
    </row>
    <row r="26" spans="1:6" ht="23.5" customHeight="1">
      <c r="A26" s="89" t="s">
        <v>112</v>
      </c>
      <c r="B26" s="89"/>
      <c r="C26" s="89"/>
      <c r="D26" s="89"/>
      <c r="E26" s="89"/>
      <c r="F26" s="89"/>
    </row>
    <row r="27" spans="1:6" ht="23.5" customHeight="1">
      <c r="A27" s="90" t="s">
        <v>113</v>
      </c>
      <c r="B27" s="90"/>
      <c r="C27" s="90"/>
      <c r="D27" s="90"/>
      <c r="E27" s="90"/>
      <c r="F27" s="90"/>
    </row>
    <row r="28" spans="1:6" ht="23.5" customHeight="1">
      <c r="A28" s="90" t="s">
        <v>114</v>
      </c>
      <c r="B28" s="90"/>
      <c r="C28" s="90"/>
      <c r="D28" s="90"/>
      <c r="E28" s="90"/>
      <c r="F28" s="90"/>
    </row>
    <row r="29" spans="1:6" ht="23.5" customHeight="1">
      <c r="A29" s="90" t="s">
        <v>115</v>
      </c>
      <c r="B29" s="90"/>
      <c r="C29" s="90"/>
      <c r="D29" s="90"/>
      <c r="E29" s="90"/>
      <c r="F29" s="90"/>
    </row>
    <row r="30" spans="1:6" ht="17.5" customHeight="1">
      <c r="A30" s="83"/>
      <c r="B30" s="83"/>
      <c r="C30" s="83"/>
      <c r="D30" s="84"/>
      <c r="E30" s="84"/>
      <c r="F30" s="84"/>
    </row>
    <row r="31" spans="1:6" ht="17.5" customHeight="1">
      <c r="A31" s="89" t="s">
        <v>116</v>
      </c>
      <c r="B31" s="89"/>
      <c r="C31" s="89"/>
      <c r="D31" s="89"/>
      <c r="E31" s="89"/>
      <c r="F31" s="89"/>
    </row>
    <row r="32" spans="1:6" ht="17.5" customHeight="1">
      <c r="A32" s="90" t="s">
        <v>117</v>
      </c>
      <c r="B32" s="90"/>
      <c r="C32" s="90"/>
      <c r="D32" s="90"/>
      <c r="E32" s="90"/>
      <c r="F32" s="90"/>
    </row>
    <row r="33" spans="1:6" ht="17.5" customHeight="1">
      <c r="A33" s="90" t="s">
        <v>118</v>
      </c>
      <c r="B33" s="90"/>
      <c r="C33" s="90"/>
      <c r="D33" s="90"/>
      <c r="E33" s="90"/>
      <c r="F33" s="90"/>
    </row>
    <row r="34" spans="1:6" ht="17.5" customHeight="1">
      <c r="A34" s="90" t="s">
        <v>119</v>
      </c>
      <c r="B34" s="90"/>
      <c r="C34" s="90"/>
      <c r="D34" s="90"/>
      <c r="E34" s="90"/>
      <c r="F34" s="90"/>
    </row>
    <row r="35" spans="1:6" ht="17.5" customHeight="1">
      <c r="A35" s="90" t="s">
        <v>120</v>
      </c>
      <c r="B35" s="90"/>
      <c r="C35" s="90"/>
      <c r="D35" s="90"/>
      <c r="E35" s="90"/>
      <c r="F35" s="90"/>
    </row>
    <row r="36" spans="1:6" ht="17.5" customHeight="1">
      <c r="A36" s="90" t="s">
        <v>121</v>
      </c>
      <c r="B36" s="90"/>
      <c r="C36" s="90"/>
      <c r="D36" s="90"/>
      <c r="E36" s="90"/>
      <c r="F36" s="90"/>
    </row>
    <row r="37" spans="1:6" ht="17.5" customHeight="1">
      <c r="A37" s="84"/>
      <c r="B37" s="84"/>
      <c r="C37" s="84"/>
      <c r="D37" s="84"/>
      <c r="E37" s="84"/>
      <c r="F37" s="84"/>
    </row>
    <row r="38" spans="1:6" ht="17.5" customHeight="1">
      <c r="A38" s="89" t="s">
        <v>122</v>
      </c>
      <c r="B38" s="89"/>
      <c r="C38" s="89"/>
      <c r="D38" s="89"/>
      <c r="E38" s="89"/>
      <c r="F38" s="89"/>
    </row>
    <row r="39" spans="1:6" ht="17.5" customHeight="1">
      <c r="A39" s="90" t="s">
        <v>123</v>
      </c>
      <c r="B39" s="90"/>
      <c r="C39" s="90"/>
      <c r="D39" s="90"/>
      <c r="E39" s="90"/>
      <c r="F39" s="90"/>
    </row>
    <row r="40" spans="1:6" ht="17.5" customHeight="1">
      <c r="A40" s="90" t="s">
        <v>124</v>
      </c>
      <c r="B40" s="90"/>
      <c r="C40" s="90"/>
      <c r="D40" s="90"/>
      <c r="E40" s="90"/>
      <c r="F40" s="90"/>
    </row>
    <row r="41" spans="1:6" ht="17.5" customHeight="1">
      <c r="A41" s="90" t="s">
        <v>125</v>
      </c>
      <c r="B41" s="90"/>
      <c r="C41" s="90"/>
      <c r="D41" s="90"/>
      <c r="E41" s="90"/>
      <c r="F41" s="90"/>
    </row>
    <row r="42" spans="1:6" ht="17.5" customHeight="1">
      <c r="A42" s="90" t="s">
        <v>126</v>
      </c>
      <c r="B42" s="90"/>
      <c r="C42" s="90"/>
      <c r="D42" s="90"/>
      <c r="E42" s="90"/>
      <c r="F42" s="90"/>
    </row>
    <row r="44" spans="1:6" ht="24" customHeight="1">
      <c r="A44" s="88" t="s">
        <v>100</v>
      </c>
      <c r="B44" s="88"/>
      <c r="C44" s="88"/>
      <c r="D44" s="88"/>
      <c r="E44" s="88"/>
      <c r="F44" s="88"/>
    </row>
    <row r="45" spans="1:6" ht="26" customHeight="1">
      <c r="A45" s="67" t="s">
        <v>101</v>
      </c>
      <c r="B45" s="68"/>
      <c r="C45" s="68"/>
      <c r="D45" s="68"/>
      <c r="E45" s="68"/>
      <c r="F45" s="69"/>
    </row>
    <row r="46" spans="1:6" ht="26" customHeight="1">
      <c r="A46" s="70"/>
      <c r="B46" s="87"/>
      <c r="C46" s="87"/>
      <c r="D46" s="87"/>
      <c r="E46" s="87"/>
      <c r="F46" s="71"/>
    </row>
    <row r="47" spans="1:6" ht="26" customHeight="1">
      <c r="A47" s="72"/>
      <c r="B47" s="73"/>
      <c r="C47" s="73"/>
      <c r="D47" s="73"/>
      <c r="E47" s="73"/>
      <c r="F47" s="74"/>
    </row>
    <row r="49" spans="1:6" ht="24" customHeight="1">
      <c r="A49" s="86" t="s">
        <v>102</v>
      </c>
      <c r="B49" s="86"/>
      <c r="C49" s="86"/>
      <c r="D49" s="86"/>
      <c r="E49" s="86"/>
      <c r="F49" s="86"/>
    </row>
    <row r="50" spans="1:6" ht="28" customHeight="1">
      <c r="A50" s="75" t="s">
        <v>103</v>
      </c>
      <c r="B50" s="76"/>
      <c r="C50" s="76"/>
      <c r="D50" s="76"/>
      <c r="E50" s="76"/>
      <c r="F50" s="77"/>
    </row>
    <row r="51" spans="1:6" ht="28" customHeight="1">
      <c r="A51" s="78"/>
      <c r="B51" s="85"/>
      <c r="C51" s="85"/>
      <c r="D51" s="85"/>
      <c r="E51" s="85"/>
      <c r="F51" s="79"/>
    </row>
    <row r="52" spans="1:6" ht="28" customHeight="1">
      <c r="A52" s="80"/>
      <c r="B52" s="81"/>
      <c r="C52" s="81"/>
      <c r="D52" s="81"/>
      <c r="E52" s="81"/>
      <c r="F52" s="82"/>
    </row>
    <row r="54" spans="1:6" ht="24" customHeight="1">
      <c r="A54" s="38" t="s">
        <v>104</v>
      </c>
      <c r="B54" s="38"/>
      <c r="C54" s="38"/>
      <c r="D54" s="38"/>
      <c r="E54" s="38"/>
      <c r="F54" s="38"/>
    </row>
    <row r="55" spans="1:6">
      <c r="A55" s="31" t="s">
        <v>105</v>
      </c>
      <c r="B55" s="34" t="s">
        <v>106</v>
      </c>
      <c r="C55" s="34"/>
      <c r="D55" s="34"/>
      <c r="E55" s="34"/>
      <c r="F55" s="34"/>
    </row>
    <row r="56" spans="1:6">
      <c r="A56" s="31" t="s">
        <v>107</v>
      </c>
      <c r="B56" s="34" t="s">
        <v>108</v>
      </c>
      <c r="C56" s="34"/>
      <c r="D56" s="34"/>
      <c r="E56" s="34"/>
      <c r="F56" s="34"/>
    </row>
    <row r="57" spans="1:6">
      <c r="A57" s="31" t="s">
        <v>109</v>
      </c>
      <c r="B57" s="34" t="s">
        <v>110</v>
      </c>
      <c r="C57" s="34"/>
      <c r="D57" s="34"/>
      <c r="E57" s="34"/>
      <c r="F57" s="34"/>
    </row>
    <row r="59" spans="1:6" ht="28" customHeight="1">
      <c r="A59" s="64" t="s">
        <v>111</v>
      </c>
      <c r="B59" s="64"/>
      <c r="C59" s="64"/>
      <c r="D59" s="64"/>
      <c r="E59" s="64"/>
      <c r="F59" s="64"/>
    </row>
    <row r="60" spans="1:6" ht="28" customHeight="1">
      <c r="A60" s="64"/>
      <c r="B60" s="64"/>
      <c r="C60" s="64"/>
      <c r="D60" s="64"/>
      <c r="E60" s="64"/>
      <c r="F60" s="64"/>
    </row>
  </sheetData>
  <mergeCells count="44">
    <mergeCell ref="A59:F60"/>
    <mergeCell ref="A44:F44"/>
    <mergeCell ref="A26:F26"/>
    <mergeCell ref="A27:F27"/>
    <mergeCell ref="A28:F28"/>
    <mergeCell ref="A29:F29"/>
    <mergeCell ref="A31:F31"/>
    <mergeCell ref="A32:F32"/>
    <mergeCell ref="A33:F33"/>
    <mergeCell ref="A34:F34"/>
    <mergeCell ref="A35:F35"/>
    <mergeCell ref="A36:F36"/>
    <mergeCell ref="A38:F38"/>
    <mergeCell ref="A39:F39"/>
    <mergeCell ref="A40:F40"/>
    <mergeCell ref="A41:F41"/>
    <mergeCell ref="A1:F1"/>
    <mergeCell ref="A2:F2"/>
    <mergeCell ref="A4:F4"/>
    <mergeCell ref="B5:F5"/>
    <mergeCell ref="B6:F6"/>
    <mergeCell ref="B7:F7"/>
    <mergeCell ref="B8:F8"/>
    <mergeCell ref="A10:F10"/>
    <mergeCell ref="B11:F11"/>
    <mergeCell ref="B12:F12"/>
    <mergeCell ref="B13:F13"/>
    <mergeCell ref="B14:F14"/>
    <mergeCell ref="B15:F15"/>
    <mergeCell ref="A17:F17"/>
    <mergeCell ref="B56:F56"/>
    <mergeCell ref="B57:F57"/>
    <mergeCell ref="D19:F19"/>
    <mergeCell ref="D20:F20"/>
    <mergeCell ref="D21:F21"/>
    <mergeCell ref="D22:F22"/>
    <mergeCell ref="D23:F23"/>
    <mergeCell ref="D24:F24"/>
    <mergeCell ref="A45:F47"/>
    <mergeCell ref="A49:F49"/>
    <mergeCell ref="A50:F52"/>
    <mergeCell ref="A54:F54"/>
    <mergeCell ref="B55:F55"/>
    <mergeCell ref="A42:F42"/>
  </mergeCells>
  <pageMargins left="0.7" right="0.7" top="0.75" bottom="0.75" header="0.3" footer="0.3"/>
</worksheet>
</file>

<file path=docMetadata/LabelInfo.xml><?xml version="1.0" encoding="utf-8"?>
<clbl:labelList xmlns:clbl="http://schemas.microsoft.com/office/2020/mipLabelMetadata">
  <clbl:label id="{034a106e-6316-442c-ad35-738afd673d2b}" enabled="1" method="Standard" siteId="{cddc1229-ac2a-4b97-b78a-0e5cacb5865c}"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Inputs</vt:lpstr>
      <vt:lpstr>Results</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Raju, Arun (CSCO)</cp:lastModifiedBy>
  <dcterms:modified xsi:type="dcterms:W3CDTF">2026-07-31T19:48:40Z</dcterms:modified>
</cp:coreProperties>
</file>