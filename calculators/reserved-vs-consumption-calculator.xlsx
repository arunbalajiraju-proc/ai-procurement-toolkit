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8f14311fbb4833" /></Relationships>
</file>

<file path=xl/workbook.xml><?xml version="1.0" encoding="utf-8"?>
<x:workbook xmlns:x="http://schemas.openxmlformats.org/spreadsheetml/2006/main">
  <x:sheets>
    <x:sheet xmlns:r="http://schemas.openxmlformats.org/officeDocument/2006/relationships" name="Inputs" sheetId="1" r:id="R7d8b713d87954f09"/>
    <x:sheet xmlns:r="http://schemas.openxmlformats.org/officeDocument/2006/relationships" name="Results" sheetId="2" r:id="R42682655480a4ec7"/>
    <x:sheet xmlns:r="http://schemas.openxmlformats.org/officeDocument/2006/relationships" name="Notes" sheetId="3" r:id="R63c299c22f8144a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yyyy-mm-dd"/>
    <x:numFmt numFmtId="202" formatCode="0.0%"/>
    <x:numFmt numFmtId="203" formatCode="#,##0;[Red](#,##0);-"/>
    <x:numFmt numFmtId="204" formatCode="0.0%;[Red](0.0%);-"/>
  </x:numFmts>
  <x:fonts count="11">
    <x:font>
      <x:sz val="11"/>
      <x:name val="Carlito"/>
    </x:font>
    <x:font>
      <x:b/>
      <x:sz val="11"/>
      <x:color rgb="FFFFFFFF"/>
      <x:name val="Aptos"/>
    </x:font>
    <x:font>
      <x:sz val="11"/>
      <x:color rgb="FF16263D"/>
      <x:name val="Aptos"/>
    </x:font>
    <x:font>
      <x:b/>
      <x:sz val="11"/>
      <x:color rgb="FF0B1F3A"/>
      <x:name val="Aptos"/>
    </x:font>
    <x:font>
      <x:sz val="11"/>
      <x:color rgb="FF5E6C84"/>
      <x:name val="Aptos"/>
    </x:font>
    <x:font>
      <x:i/>
      <x:sz val="11"/>
      <x:color rgb="FFA06600"/>
      <x:name val="Aptos"/>
    </x:font>
    <x:font>
      <x:b/>
      <x:sz val="11"/>
      <x:color rgb="FFA06600"/>
      <x:name val="Aptos"/>
    </x:font>
    <x:font>
      <x:sz val="11"/>
      <x:color rgb="FFB93A35"/>
      <x:name val="Aptos"/>
    </x:font>
    <x:font>
      <x:b/>
      <x:sz val="11"/>
      <x:color rgb="FF1769E0"/>
      <x:name val="Aptos"/>
    </x:font>
    <x:font>
      <x:sz val="11"/>
      <x:color rgb="FF1769E0"/>
      <x:name val="Aptos"/>
    </x:font>
    <x:font>
      <x:i/>
      <x:sz val="11"/>
      <x:color rgb="FFFFFFFF"/>
      <x:name val="Aptos"/>
    </x:font>
  </x:fonts>
  <x:fills count="11">
    <x:fill>
      <x:patternFill patternType="none"/>
    </x:fill>
    <x:fill>
      <x:patternFill patternType="gray125"/>
    </x:fill>
    <x:fill>
      <x:patternFill patternType="solid">
        <x:fgColor rgb="FF0B1F3A"/>
      </x:patternFill>
    </x:fill>
    <x:fill>
      <x:patternFill patternType="solid">
        <x:fgColor rgb="FFF5F9FF"/>
      </x:patternFill>
    </x:fill>
    <x:fill>
      <x:patternFill patternType="solid">
        <x:fgColor rgb="FF1769E0"/>
      </x:patternFill>
    </x:fill>
    <x:fill>
      <x:patternFill patternType="solid">
        <x:fgColor rgb="FFEAF2FF"/>
      </x:patternFill>
    </x:fill>
    <x:fill>
      <x:patternFill patternType="solid">
        <x:fgColor rgb="FFFFF6D8"/>
      </x:patternFill>
    </x:fill>
    <x:fill>
      <x:patternFill patternType="solid">
        <x:fgColor rgb="FF147882"/>
      </x:patternFill>
    </x:fill>
    <x:fill>
      <x:patternFill patternType="solid">
        <x:fgColor rgb="FFE6F3F5"/>
      </x:patternFill>
    </x:fill>
    <x:fill>
      <x:patternFill patternType="solid">
        <x:fgColor rgb="FFFCEBE9"/>
      </x:patternFill>
    </x:fill>
    <x:fill>
      <x:patternFill patternType="solid">
        <x:fgColor rgb="FFF3F6FA"/>
      </x:patternFill>
    </x:fill>
  </x:fills>
  <x:borders count="28">
    <x:border/>
    <x:border>
      <x:left style="thin">
        <x:color rgb="FF1769E0"/>
      </x:left>
      <x:right style="thin">
        <x:color rgb="FF1769E0"/>
      </x:right>
      <x:top style="thin">
        <x:color rgb="FF1769E0"/>
      </x:top>
    </x:border>
    <x:border>
      <x:left style="thin">
        <x:color rgb="FF1769E0"/>
      </x:left>
      <x:right style="thin">
        <x:color rgb="FF1769E0"/>
      </x:right>
    </x:border>
    <x:border>
      <x:left style="thin">
        <x:color rgb="FF1769E0"/>
      </x:left>
      <x:right style="thin">
        <x:color rgb="FF1769E0"/>
      </x:right>
      <x:bottom style="thin">
        <x:color rgb="FF1769E0"/>
      </x:bottom>
    </x:border>
    <x:border>
      <x:left style="thin">
        <x:color rgb="FFEAC56A"/>
      </x:left>
      <x:top style="thin">
        <x:color rgb="FFEAC56A"/>
      </x:top>
    </x:border>
    <x:border>
      <x:top style="thin">
        <x:color rgb="FFEAC56A"/>
      </x:top>
    </x:border>
    <x:border>
      <x:right style="thin">
        <x:color rgb="FFEAC56A"/>
      </x:right>
      <x:top style="thin">
        <x:color rgb="FFEAC56A"/>
      </x:top>
    </x:border>
    <x:border>
      <x:left style="thin">
        <x:color rgb="FFEAC56A"/>
      </x:left>
      <x:bottom style="thin">
        <x:color rgb="FFEAC56A"/>
      </x:bottom>
    </x:border>
    <x:border>
      <x:bottom style="thin">
        <x:color rgb="FFEAC56A"/>
      </x:bottom>
    </x:border>
    <x:border>
      <x:right style="thin">
        <x:color rgb="FFEAC56A"/>
      </x:right>
      <x:bottom style="thin">
        <x:color rgb="FFEAC56A"/>
      </x:bottom>
    </x:border>
    <x:border>
      <x:left style="thin">
        <x:color rgb="FFEAC56A"/>
      </x:left>
      <x:top style="thin">
        <x:color rgb="FFEAC56A"/>
      </x:top>
      <x:bottom style="thin">
        <x:color rgb="FFEAC56A"/>
      </x:bottom>
    </x:border>
    <x:border>
      <x:top style="thin">
        <x:color rgb="FFEAC56A"/>
      </x:top>
      <x:bottom style="thin">
        <x:color rgb="FFEAC56A"/>
      </x:bottom>
    </x:border>
    <x:border>
      <x:right style="thin">
        <x:color rgb="FFEAC56A"/>
      </x:right>
      <x:top style="thin">
        <x:color rgb="FFEAC56A"/>
      </x:top>
      <x:bottom style="thin">
        <x:color rgb="FFEAC56A"/>
      </x:bottom>
    </x:border>
    <x:border>
      <x:left style="thin">
        <x:color rgb="FF147882"/>
      </x:left>
      <x:top style="thin">
        <x:color rgb="FF147882"/>
      </x:top>
    </x:border>
    <x:border>
      <x:right style="thin">
        <x:color rgb="FF147882"/>
      </x:right>
      <x:top style="thin">
        <x:color rgb="FF147882"/>
      </x:top>
    </x:border>
    <x:border>
      <x:left style="thin">
        <x:color rgb="FF147882"/>
      </x:left>
      <x:bottom style="thin">
        <x:color rgb="FF147882"/>
      </x:bottom>
    </x:border>
    <x:border>
      <x:right style="thin">
        <x:color rgb="FF147882"/>
      </x:right>
      <x:bottom style="thin">
        <x:color rgb="FF147882"/>
      </x:bottom>
    </x:border>
    <x:border>
      <x:bottom style="thin">
        <x:color rgb="FFCDD8E8"/>
      </x:bottom>
    </x:border>
    <x:border>
      <x:top style="thin">
        <x:color rgb="FFCDD8E8"/>
      </x:top>
      <x:bottom style="thin">
        <x:color rgb="FFCDD8E8"/>
      </x:bottom>
    </x:border>
    <x:border>
      <x:top style="thin">
        <x:color rgb="FFCDD8E8"/>
      </x:top>
    </x:border>
    <x:border>
      <x:left style="thin">
        <x:color rgb="FFE8A7A3"/>
      </x:left>
      <x:top style="thin">
        <x:color rgb="FFE8A7A3"/>
      </x:top>
    </x:border>
    <x:border>
      <x:top style="thin">
        <x:color rgb="FFE8A7A3"/>
      </x:top>
    </x:border>
    <x:border>
      <x:right style="thin">
        <x:color rgb="FFE8A7A3"/>
      </x:right>
      <x:top style="thin">
        <x:color rgb="FFE8A7A3"/>
      </x:top>
    </x:border>
    <x:border>
      <x:left style="thin">
        <x:color rgb="FFE8A7A3"/>
      </x:left>
    </x:border>
    <x:border>
      <x:right style="thin">
        <x:color rgb="FFE8A7A3"/>
      </x:right>
    </x:border>
    <x:border>
      <x:left style="thin">
        <x:color rgb="FFE8A7A3"/>
      </x:left>
      <x:bottom style="thin">
        <x:color rgb="FFE8A7A3"/>
      </x:bottom>
    </x:border>
    <x:border>
      <x:bottom style="thin">
        <x:color rgb="FFE8A7A3"/>
      </x:bottom>
    </x:border>
    <x:border>
      <x:right style="thin">
        <x:color rgb="FFE8A7A3"/>
      </x:right>
      <x:bottom style="thin">
        <x:color rgb="FFE8A7A3"/>
      </x:bottom>
    </x:border>
  </x:borders>
  <x:cellStyleXfs count="1">
    <x:xf numFmtId="0" fontId="0" fillId="0" borderId="0"/>
  </x:cellStyleXfs>
  <x:cellXfs count="19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2" fillId="5" borderId="0" xfId="0" applyNumberFormat="1" applyFont="1" applyFill="1" applyBorder="1" applyAlignment="1">
      <x:alignment vertical="center"/>
    </x:xf>
    <x:xf numFmtId="0" fontId="3" fillId="5" borderId="0" xfId="0" applyNumberFormat="1" applyFont="1" applyFill="1" applyBorder="1" applyAlignment="1">
      <x:alignment vertical="center"/>
    </x:xf>
    <x:xf numFmtId="0" fontId="3" fillId="5" borderId="1" xfId="0" applyNumberFormat="1" applyFont="1" applyFill="1" applyBorder="1" applyAlignment="1">
      <x:alignment vertical="center"/>
    </x:xf>
    <x:xf numFmtId="0" fontId="3" fillId="5" borderId="2" xfId="0" applyNumberFormat="1" applyFont="1" applyFill="1" applyBorder="1" applyAlignment="1">
      <x:alignment vertical="center"/>
    </x:xf>
    <x:xf numFmtId="0" fontId="3" fillId="5" borderId="3" xfId="0" applyNumberFormat="1" applyFont="1" applyFill="1" applyBorder="1" applyAlignment="1">
      <x:alignment vertical="center"/>
    </x:xf>
    <x:xf numFmtId="0" fontId="3" fillId="5" borderId="1" xfId="0" applyNumberFormat="1" applyFont="1" applyFill="1" applyBorder="1" applyAlignment="1">
      <x:alignment horizontal="right" vertical="center"/>
    </x:xf>
    <x:xf numFmtId="0" fontId="3" fillId="5" borderId="2" xfId="0" applyNumberFormat="1" applyFont="1" applyFill="1" applyBorder="1" applyAlignment="1">
      <x:alignment horizontal="right" vertical="center"/>
    </x:xf>
    <x:xf numFmtId="0" fontId="3" fillId="5" borderId="3" xfId="0" applyNumberFormat="1" applyFont="1" applyFill="1" applyBorder="1" applyAlignment="1">
      <x:alignment horizontal="right" vertical="center"/>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200" fontId="3" fillId="5" borderId="2" xfId="0" applyNumberFormat="1" applyFont="1" applyFill="1" applyBorder="1" applyAlignment="1">
      <x:alignment horizontal="right" vertical="center"/>
    </x:xf>
    <x:xf numFmtId="0" fontId="3" fillId="5" borderId="2" xfId="0" applyNumberFormat="1" applyFont="1" applyFill="1" applyBorder="1" applyAlignment="1">
      <x:alignment horizontal="right" vertical="center" wrapText="1"/>
    </x:xf>
    <x:xf numFmtId="0" fontId="3" fillId="5" borderId="2" xfId="0" applyNumberFormat="1" applyFont="1" applyFill="1" applyBorder="1" applyAlignment="1">
      <x:alignment horizontal="left" vertical="center" wrapText="1"/>
    </x:xf>
    <x:xf numFmtId="201" fontId="3" fillId="5" borderId="3" xfId="0" applyNumberFormat="1" applyFont="1" applyFill="1" applyBorder="1" applyAlignment="1">
      <x:alignment horizontal="right" vertical="center"/>
    </x:xf>
    <x:xf numFmtId="200" fontId="3" fillId="5" borderId="1" xfId="0" applyNumberFormat="1" applyFont="1" applyFill="1" applyBorder="1" applyAlignment="1">
      <x:alignment horizontal="right" vertical="center"/>
    </x:xf>
    <x:xf numFmtId="202" fontId="3" fillId="5" borderId="2" xfId="0" applyNumberFormat="1" applyFont="1" applyFill="1" applyBorder="1" applyAlignment="1">
      <x:alignment horizontal="right" vertical="center"/>
    </x:xf>
    <x:xf numFmtId="202" fontId="3" fillId="5" borderId="3" xfId="0" applyNumberFormat="1" applyFont="1" applyFill="1" applyBorder="1" applyAlignment="1">
      <x:alignment horizontal="right" vertical="center"/>
    </x:xf>
    <x:xf numFmtId="0" fontId="0" fillId="6" borderId="0" xfId="0" applyNumberFormat="1" applyFont="1" applyFill="1" applyBorder="1"/>
    <x:xf numFmtId="0" fontId="5" fillId="6" borderId="0"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9" xfId="0" applyNumberFormat="1" applyFont="1" applyFill="1" applyBorder="1"/>
    <x:xf numFmtId="0" fontId="5" fillId="6" borderId="4" xfId="0" applyNumberFormat="1" applyFont="1" applyFill="1" applyBorder="1" applyAlignment="1">
      <x:alignment wrapText="1"/>
    </x:xf>
    <x:xf numFmtId="0" fontId="5" fillId="6" borderId="5" xfId="0" applyNumberFormat="1" applyFont="1" applyFill="1" applyBorder="1" applyAlignment="1">
      <x:alignment wrapText="1"/>
    </x:xf>
    <x:xf numFmtId="0" fontId="5" fillId="6" borderId="6" xfId="0" applyNumberFormat="1" applyFont="1" applyFill="1" applyBorder="1" applyAlignment="1">
      <x:alignment wrapText="1"/>
    </x:xf>
    <x:xf numFmtId="0" fontId="5" fillId="6" borderId="7"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9" xfId="0" applyNumberFormat="1" applyFont="1" applyFill="1" applyBorder="1" applyAlignment="1">
      <x:alignment wrapText="1"/>
    </x:xf>
    <x:xf numFmtId="0" fontId="5" fillId="6" borderId="4" xfId="0" applyNumberFormat="1" applyFont="1" applyFill="1" applyBorder="1" applyAlignment="1">
      <x:alignment vertical="center" wrapText="1"/>
    </x:xf>
    <x:xf numFmtId="0" fontId="5" fillId="6" borderId="5" xfId="0" applyNumberFormat="1" applyFont="1" applyFill="1" applyBorder="1" applyAlignment="1">
      <x:alignment vertical="center" wrapText="1"/>
    </x:xf>
    <x:xf numFmtId="0" fontId="5" fillId="6" borderId="6" xfId="0" applyNumberFormat="1" applyFont="1" applyFill="1" applyBorder="1" applyAlignment="1">
      <x:alignment vertical="center" wrapText="1"/>
    </x:xf>
    <x:xf numFmtId="0" fontId="5" fillId="6" borderId="7" xfId="0" applyNumberFormat="1" applyFont="1" applyFill="1" applyBorder="1" applyAlignment="1">
      <x:alignment vertical="center" wrapText="1"/>
    </x:xf>
    <x:xf numFmtId="0" fontId="5" fillId="6" borderId="8" xfId="0" applyNumberFormat="1" applyFont="1" applyFill="1" applyBorder="1" applyAlignment="1">
      <x:alignment vertical="center" wrapText="1"/>
    </x:xf>
    <x:xf numFmtId="0" fontId="5" fillId="6" borderId="9" xfId="0" applyNumberFormat="1" applyFont="1" applyFill="1" applyBorder="1" applyAlignment="1">
      <x:alignment vertical="center" wrapText="1"/>
    </x:xf>
    <x:xf numFmtId="0" fontId="0" fillId="0" borderId="0" xfId="0" applyNumberFormat="1" applyFont="1" applyFill="1" applyBorder="1" applyAlignment="1">
      <x:alignment wrapText="1"/>
    </x:xf>
    <x:xf numFmtId="0" fontId="1" fillId="4" borderId="0" xfId="0" applyNumberFormat="1" applyFont="1" applyFill="1" applyBorder="1" applyAlignment="1">
      <x:alignment vertical="center" wrapText="1"/>
    </x:xf>
    <x:xf numFmtId="0" fontId="6" fillId="6" borderId="0" xfId="0" applyNumberFormat="1" applyFont="1" applyFill="1" applyBorder="1"/>
    <x:xf numFmtId="0" fontId="6" fillId="6" borderId="10" xfId="0" applyNumberFormat="1" applyFont="1" applyFill="1" applyBorder="1"/>
    <x:xf numFmtId="0" fontId="6" fillId="6" borderId="11" xfId="0" applyNumberFormat="1" applyFont="1" applyFill="1" applyBorder="1"/>
    <x:xf numFmtId="0" fontId="6" fillId="6" borderId="12" xfId="0" applyNumberFormat="1" applyFont="1" applyFill="1" applyBorder="1"/>
    <x:xf numFmtId="0" fontId="6" fillId="6" borderId="10" xfId="0" applyNumberFormat="1" applyFont="1" applyFill="1" applyBorder="1" applyAlignment="1">
      <x:alignment horizontal="center"/>
    </x:xf>
    <x:xf numFmtId="0" fontId="6" fillId="6" borderId="11" xfId="0" applyNumberFormat="1" applyFont="1" applyFill="1" applyBorder="1" applyAlignment="1">
      <x:alignment horizontal="center"/>
    </x:xf>
    <x:xf numFmtId="0" fontId="6" fillId="6" borderId="12" xfId="0" applyNumberFormat="1" applyFont="1" applyFill="1" applyBorder="1" applyAlignment="1">
      <x:alignment horizontal="center"/>
    </x:xf>
    <x:xf numFmtId="0" fontId="6" fillId="6" borderId="10" xfId="0" applyNumberFormat="1" applyFont="1" applyFill="1" applyBorder="1" applyAlignment="1">
      <x:alignment horizontal="center" vertical="center"/>
    </x:xf>
    <x:xf numFmtId="0" fontId="6" fillId="6" borderId="11" xfId="0" applyNumberFormat="1" applyFont="1" applyFill="1" applyBorder="1" applyAlignment="1">
      <x:alignment horizontal="center" vertical="center"/>
    </x:xf>
    <x:xf numFmtId="0" fontId="6" fillId="6" borderId="12" xfId="0" applyNumberFormat="1" applyFont="1" applyFill="1" applyBorder="1" applyAlignment="1">
      <x:alignment horizontal="center" vertic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1" fillId="7" borderId="0"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13" xfId="0" applyNumberFormat="1" applyFont="1" applyFill="1" applyBorder="1"/>
    <x:xf numFmtId="0" fontId="3" fillId="8" borderId="14" xfId="0" applyNumberFormat="1" applyFont="1" applyFill="1" applyBorder="1"/>
    <x:xf numFmtId="0" fontId="3" fillId="8" borderId="15" xfId="0" applyNumberFormat="1" applyFont="1" applyFill="1" applyBorder="1"/>
    <x:xf numFmtId="0" fontId="3" fillId="8" borderId="16" xfId="0" applyNumberFormat="1" applyFont="1" applyFill="1" applyBorder="1"/>
    <x:xf numFmtId="200" fontId="3" fillId="8" borderId="13" xfId="0" applyNumberFormat="1" applyFont="1" applyFill="1" applyBorder="1"/>
    <x:xf numFmtId="200" fontId="3" fillId="8" borderId="14" xfId="0" applyNumberFormat="1" applyFont="1" applyFill="1" applyBorder="1"/>
    <x:xf numFmtId="200" fontId="3" fillId="8" borderId="15" xfId="0" applyNumberFormat="1" applyFont="1" applyFill="1" applyBorder="1"/>
    <x:xf numFmtId="200" fontId="3" fillId="8" borderId="16" xfId="0" applyNumberFormat="1" applyFont="1" applyFill="1" applyBorder="1"/>
    <x:xf numFmtId="200" fontId="3" fillId="8" borderId="13" xfId="0" applyNumberFormat="1" applyFont="1" applyFill="1" applyBorder="1" applyAlignment="1">
      <x:alignment horizontal="center"/>
    </x:xf>
    <x:xf numFmtId="200" fontId="3" fillId="8" borderId="14" xfId="0" applyNumberFormat="1" applyFont="1" applyFill="1" applyBorder="1" applyAlignment="1">
      <x:alignment horizontal="center"/>
    </x:xf>
    <x:xf numFmtId="200" fontId="3" fillId="8" borderId="15" xfId="0" applyNumberFormat="1" applyFont="1" applyFill="1" applyBorder="1" applyAlignment="1">
      <x:alignment horizontal="center"/>
    </x:xf>
    <x:xf numFmtId="200" fontId="3" fillId="8" borderId="16" xfId="0" applyNumberFormat="1" applyFont="1" applyFill="1" applyBorder="1" applyAlignment="1">
      <x:alignment horizontal="center"/>
    </x:xf>
    <x:xf numFmtId="200" fontId="3" fillId="8" borderId="13" xfId="0" applyNumberFormat="1" applyFont="1" applyFill="1" applyBorder="1" applyAlignment="1">
      <x:alignment horizontal="center" vertical="center"/>
    </x:xf>
    <x:xf numFmtId="200" fontId="3" fillId="8" borderId="14" xfId="0" applyNumberFormat="1" applyFont="1" applyFill="1" applyBorder="1" applyAlignment="1">
      <x:alignment horizontal="center" vertical="center"/>
    </x:xf>
    <x:xf numFmtId="200" fontId="3" fillId="8" borderId="15" xfId="0" applyNumberFormat="1" applyFont="1" applyFill="1" applyBorder="1" applyAlignment="1">
      <x:alignment horizontal="center" vertical="center"/>
    </x:xf>
    <x:xf numFmtId="200" fontId="3" fillId="8" borderId="16" xfId="0" applyNumberFormat="1" applyFont="1" applyFill="1" applyBorder="1" applyAlignment="1">
      <x:alignment horizontal="center" vertical="center"/>
    </x:xf>
    <x:xf numFmtId="203" fontId="3" fillId="8" borderId="13" xfId="0" applyNumberFormat="1" applyFont="1" applyFill="1" applyBorder="1"/>
    <x:xf numFmtId="203" fontId="3" fillId="8" borderId="14" xfId="0" applyNumberFormat="1" applyFont="1" applyFill="1" applyBorder="1"/>
    <x:xf numFmtId="203" fontId="3" fillId="8" borderId="15" xfId="0" applyNumberFormat="1" applyFont="1" applyFill="1" applyBorder="1"/>
    <x:xf numFmtId="203" fontId="3" fillId="8" borderId="16" xfId="0" applyNumberFormat="1" applyFont="1" applyFill="1" applyBorder="1"/>
    <x:xf numFmtId="203" fontId="3" fillId="8" borderId="13" xfId="0" applyNumberFormat="1" applyFont="1" applyFill="1" applyBorder="1" applyAlignment="1">
      <x:alignment horizontal="center"/>
    </x:xf>
    <x:xf numFmtId="203" fontId="3" fillId="8" borderId="14" xfId="0" applyNumberFormat="1" applyFont="1" applyFill="1" applyBorder="1" applyAlignment="1">
      <x:alignment horizontal="center"/>
    </x:xf>
    <x:xf numFmtId="203" fontId="3" fillId="8" borderId="15" xfId="0" applyNumberFormat="1" applyFont="1" applyFill="1" applyBorder="1" applyAlignment="1">
      <x:alignment horizontal="center"/>
    </x:xf>
    <x:xf numFmtId="203" fontId="3" fillId="8" borderId="16" xfId="0" applyNumberFormat="1" applyFont="1" applyFill="1" applyBorder="1" applyAlignment="1">
      <x:alignment horizontal="center"/>
    </x:xf>
    <x:xf numFmtId="203" fontId="3" fillId="8" borderId="13" xfId="0" applyNumberFormat="1" applyFont="1" applyFill="1" applyBorder="1" applyAlignment="1">
      <x:alignment horizontal="center" vertical="center"/>
    </x:xf>
    <x:xf numFmtId="203" fontId="3" fillId="8" borderId="14" xfId="0" applyNumberFormat="1" applyFont="1" applyFill="1" applyBorder="1" applyAlignment="1">
      <x:alignment horizontal="center" vertical="center"/>
    </x:xf>
    <x:xf numFmtId="203" fontId="3" fillId="8" borderId="15" xfId="0" applyNumberFormat="1" applyFont="1" applyFill="1" applyBorder="1" applyAlignment="1">
      <x:alignment horizontal="center" vertical="center"/>
    </x:xf>
    <x:xf numFmtId="203" fontId="3" fillId="8" borderId="16" xfId="0" applyNumberFormat="1" applyFont="1" applyFill="1" applyBorder="1" applyAlignment="1">
      <x:alignment horizontal="center" vertical="center"/>
    </x:xf>
    <x:xf numFmtId="202" fontId="3" fillId="8" borderId="13" xfId="0" applyNumberFormat="1" applyFont="1" applyFill="1" applyBorder="1"/>
    <x:xf numFmtId="202" fontId="3" fillId="8" borderId="14" xfId="0" applyNumberFormat="1" applyFont="1" applyFill="1" applyBorder="1"/>
    <x:xf numFmtId="202" fontId="3" fillId="8" borderId="15" xfId="0" applyNumberFormat="1" applyFont="1" applyFill="1" applyBorder="1"/>
    <x:xf numFmtId="202" fontId="3" fillId="8" borderId="16" xfId="0" applyNumberFormat="1" applyFont="1" applyFill="1" applyBorder="1"/>
    <x:xf numFmtId="202" fontId="3" fillId="8" borderId="13" xfId="0" applyNumberFormat="1" applyFont="1" applyFill="1" applyBorder="1" applyAlignment="1">
      <x:alignment horizontal="center"/>
    </x:xf>
    <x:xf numFmtId="202" fontId="3" fillId="8" borderId="14" xfId="0" applyNumberFormat="1" applyFont="1" applyFill="1" applyBorder="1" applyAlignment="1">
      <x:alignment horizontal="center"/>
    </x:xf>
    <x:xf numFmtId="202" fontId="3" fillId="8" borderId="15" xfId="0" applyNumberFormat="1" applyFont="1" applyFill="1" applyBorder="1" applyAlignment="1">
      <x:alignment horizontal="center"/>
    </x:xf>
    <x:xf numFmtId="202" fontId="3" fillId="8" borderId="16" xfId="0" applyNumberFormat="1" applyFont="1" applyFill="1" applyBorder="1" applyAlignment="1">
      <x:alignment horizontal="center"/>
    </x:xf>
    <x:xf numFmtId="202" fontId="3" fillId="8" borderId="13" xfId="0" applyNumberFormat="1" applyFont="1" applyFill="1" applyBorder="1" applyAlignment="1">
      <x:alignment horizontal="center" vertical="center"/>
    </x:xf>
    <x:xf numFmtId="202" fontId="3" fillId="8" borderId="14" xfId="0" applyNumberFormat="1" applyFont="1" applyFill="1" applyBorder="1" applyAlignment="1">
      <x:alignment horizontal="center" vertical="center"/>
    </x:xf>
    <x:xf numFmtId="202" fontId="3" fillId="8" borderId="15" xfId="0" applyNumberFormat="1" applyFont="1" applyFill="1" applyBorder="1" applyAlignment="1">
      <x:alignment horizontal="center" vertical="center"/>
    </x:xf>
    <x:xf numFmtId="202" fontId="3" fillId="8" borderId="16" xfId="0" applyNumberFormat="1" applyFont="1" applyFill="1" applyBorder="1" applyAlignment="1">
      <x:alignment horizontal="center" vertical="center"/>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17" xfId="0" applyNumberFormat="1" applyFont="1" applyFill="1" applyBorder="1"/>
    <x:xf numFmtId="0" fontId="2" fillId="0" borderId="18" xfId="0" applyNumberFormat="1" applyFont="1" applyFill="1" applyBorder="1"/>
    <x:xf numFmtId="0" fontId="2" fillId="0" borderId="19" xfId="0" applyNumberFormat="1" applyFont="1" applyFill="1" applyBorder="1"/>
    <x:xf numFmtId="0" fontId="2" fillId="0" borderId="17" xfId="0" applyNumberFormat="1" applyFont="1" applyFill="1" applyBorder="1" applyAlignment="1">
      <x:alignment vertical="center"/>
    </x:xf>
    <x:xf numFmtId="0" fontId="2" fillId="0" borderId="18" xfId="0" applyNumberFormat="1" applyFont="1" applyFill="1" applyBorder="1" applyAlignment="1">
      <x:alignment vertical="center"/>
    </x:xf>
    <x:xf numFmtId="0" fontId="2" fillId="0" borderId="19" xfId="0" applyNumberFormat="1" applyFont="1" applyFill="1" applyBorder="1" applyAlignment="1">
      <x:alignment vertical="center"/>
    </x:xf>
    <x:xf numFmtId="0" fontId="2" fillId="5" borderId="18" xfId="0" applyNumberFormat="1" applyFont="1" applyFill="1" applyBorder="1" applyAlignment="1">
      <x:alignment vertical="center"/>
    </x:xf>
    <x:xf numFmtId="0" fontId="3" fillId="5" borderId="18" xfId="0" applyNumberFormat="1" applyFont="1" applyFill="1" applyBorder="1" applyAlignment="1">
      <x:alignment vertical="center"/>
    </x:xf>
    <x:xf numFmtId="202" fontId="2" fillId="0" borderId="17" xfId="0" applyNumberFormat="1" applyFont="1" applyFill="1" applyBorder="1" applyAlignment="1">
      <x:alignment vertical="center"/>
    </x:xf>
    <x:xf numFmtId="202" fontId="3" fillId="5" borderId="18" xfId="0" applyNumberFormat="1" applyFont="1" applyFill="1" applyBorder="1" applyAlignment="1">
      <x:alignment vertical="center"/>
    </x:xf>
    <x:xf numFmtId="202" fontId="2" fillId="0" borderId="19" xfId="0" applyNumberFormat="1" applyFont="1" applyFill="1" applyBorder="1" applyAlignment="1">
      <x:alignment vertical="center"/>
    </x:xf>
    <x:xf numFmtId="203" fontId="2" fillId="0" borderId="17" xfId="0" applyNumberFormat="1" applyFont="1" applyFill="1" applyBorder="1" applyAlignment="1">
      <x:alignment vertical="center"/>
    </x:xf>
    <x:xf numFmtId="203" fontId="3" fillId="5" borderId="18" xfId="0" applyNumberFormat="1" applyFont="1" applyFill="1" applyBorder="1" applyAlignment="1">
      <x:alignment vertical="center"/>
    </x:xf>
    <x:xf numFmtId="203" fontId="2" fillId="0" borderId="19" xfId="0" applyNumberFormat="1" applyFont="1" applyFill="1" applyBorder="1" applyAlignment="1">
      <x:alignment vertical="center"/>
    </x:xf>
    <x:xf numFmtId="204" fontId="2" fillId="0" borderId="17" xfId="0" applyNumberFormat="1" applyFont="1" applyFill="1" applyBorder="1" applyAlignment="1">
      <x:alignment vertical="center"/>
    </x:xf>
    <x:xf numFmtId="204" fontId="3" fillId="5" borderId="18" xfId="0" applyNumberFormat="1" applyFont="1" applyFill="1" applyBorder="1" applyAlignment="1">
      <x:alignment vertical="center"/>
    </x:xf>
    <x:xf numFmtId="204" fontId="2" fillId="0" borderId="19" xfId="0" applyNumberFormat="1" applyFont="1" applyFill="1" applyBorder="1" applyAlignment="1">
      <x:alignment vertical="center"/>
    </x:xf>
    <x:xf numFmtId="0" fontId="2" fillId="0" borderId="17" xfId="0" applyNumberFormat="1" applyFont="1" applyFill="1" applyBorder="1" applyAlignment="1">
      <x:alignment wrapText="1"/>
    </x:xf>
    <x:xf numFmtId="0" fontId="2" fillId="0" borderId="18" xfId="0" applyNumberFormat="1" applyFont="1" applyFill="1" applyBorder="1" applyAlignment="1">
      <x:alignment wrapText="1"/>
    </x:xf>
    <x:xf numFmtId="0" fontId="2" fillId="0" borderId="19" xfId="0" applyNumberFormat="1" applyFont="1" applyFill="1" applyBorder="1" applyAlignment="1">
      <x:alignment wrapText="1"/>
    </x:xf>
    <x:xf numFmtId="0" fontId="2" fillId="0" borderId="17" xfId="0" applyNumberFormat="1" applyFont="1" applyFill="1" applyBorder="1" applyAlignment="1">
      <x:alignment vertical="center" wrapText="1"/>
    </x:xf>
    <x:xf numFmtId="0" fontId="2" fillId="0" borderId="18" xfId="0" applyNumberFormat="1" applyFont="1" applyFill="1" applyBorder="1" applyAlignment="1">
      <x:alignment vertical="center" wrapText="1"/>
    </x:xf>
    <x:xf numFmtId="0" fontId="2" fillId="0" borderId="19" xfId="0" applyNumberFormat="1" applyFont="1" applyFill="1" applyBorder="1" applyAlignment="1">
      <x:alignment vertical="center" wrapText="1"/>
    </x:xf>
    <x:xf numFmtId="0" fontId="3" fillId="0" borderId="17" xfId="0" applyNumberFormat="1" applyFont="1" applyFill="1" applyBorder="1" applyAlignment="1">
      <x:alignment vertical="center" wrapText="1"/>
    </x:xf>
    <x:xf numFmtId="0" fontId="3" fillId="0" borderId="18" xfId="0" applyNumberFormat="1" applyFont="1" applyFill="1" applyBorder="1" applyAlignment="1">
      <x:alignment vertical="center" wrapText="1"/>
    </x:xf>
    <x:xf numFmtId="0" fontId="3" fillId="0" borderId="19" xfId="0" applyNumberFormat="1" applyFont="1" applyFill="1" applyBorder="1" applyAlignment="1">
      <x:alignment vertical="center" wrapText="1"/>
    </x:xf>
    <x:xf numFmtId="203" fontId="2" fillId="0" borderId="17" xfId="0" applyNumberFormat="1" applyFont="1" applyFill="1" applyBorder="1"/>
    <x:xf numFmtId="203" fontId="2" fillId="0" borderId="18" xfId="0" applyNumberFormat="1" applyFont="1" applyFill="1" applyBorder="1"/>
    <x:xf numFmtId="203" fontId="2" fillId="0" borderId="19" xfId="0" applyNumberFormat="1" applyFont="1" applyFill="1" applyBorder="1"/>
    <x:xf numFmtId="0" fontId="0" fillId="9" borderId="0" xfId="0" applyNumberFormat="1" applyFont="1" applyFill="1" applyBorder="1"/>
    <x:xf numFmtId="0" fontId="7" fillId="9" borderId="0" xfId="0" applyNumberFormat="1" applyFont="1" applyFill="1" applyBorder="1"/>
    <x:xf numFmtId="0" fontId="7" fillId="9" borderId="20" xfId="0" applyNumberFormat="1" applyFont="1" applyFill="1" applyBorder="1"/>
    <x:xf numFmtId="0" fontId="7" fillId="9" borderId="21" xfId="0" applyNumberFormat="1" applyFont="1" applyFill="1" applyBorder="1"/>
    <x:xf numFmtId="0" fontId="7" fillId="9" borderId="22" xfId="0" applyNumberFormat="1" applyFont="1" applyFill="1" applyBorder="1"/>
    <x:xf numFmtId="0" fontId="7" fillId="9" borderId="23" xfId="0" applyNumberFormat="1" applyFont="1" applyFill="1" applyBorder="1"/>
    <x:xf numFmtId="0" fontId="7" fillId="9" borderId="24" xfId="0" applyNumberFormat="1" applyFont="1" applyFill="1" applyBorder="1"/>
    <x:xf numFmtId="0" fontId="7" fillId="9" borderId="25" xfId="0" applyNumberFormat="1" applyFont="1" applyFill="1" applyBorder="1"/>
    <x:xf numFmtId="0" fontId="7" fillId="9" borderId="26" xfId="0" applyNumberFormat="1" applyFont="1" applyFill="1" applyBorder="1"/>
    <x:xf numFmtId="0" fontId="7" fillId="9" borderId="27" xfId="0" applyNumberFormat="1" applyFont="1" applyFill="1" applyBorder="1"/>
    <x:xf numFmtId="0" fontId="7" fillId="9" borderId="20" xfId="0" applyNumberFormat="1" applyFont="1" applyFill="1" applyBorder="1" applyAlignment="1">
      <x:alignment wrapText="1"/>
    </x:xf>
    <x:xf numFmtId="0" fontId="7" fillId="9" borderId="21" xfId="0" applyNumberFormat="1" applyFont="1" applyFill="1" applyBorder="1" applyAlignment="1">
      <x:alignment wrapText="1"/>
    </x:xf>
    <x:xf numFmtId="0" fontId="7" fillId="9" borderId="22" xfId="0" applyNumberFormat="1" applyFont="1" applyFill="1" applyBorder="1" applyAlignment="1">
      <x:alignment wrapText="1"/>
    </x:xf>
    <x:xf numFmtId="0" fontId="7" fillId="9" borderId="23" xfId="0" applyNumberFormat="1" applyFont="1" applyFill="1" applyBorder="1" applyAlignment="1">
      <x:alignment wrapText="1"/>
    </x:xf>
    <x:xf numFmtId="0" fontId="7" fillId="9" borderId="0" xfId="0" applyNumberFormat="1" applyFont="1" applyFill="1" applyBorder="1" applyAlignment="1">
      <x:alignment wrapText="1"/>
    </x:xf>
    <x:xf numFmtId="0" fontId="7" fillId="9" borderId="24" xfId="0" applyNumberFormat="1" applyFont="1" applyFill="1" applyBorder="1" applyAlignment="1">
      <x:alignment wrapText="1"/>
    </x:xf>
    <x:xf numFmtId="0" fontId="7" fillId="9" borderId="25" xfId="0" applyNumberFormat="1" applyFont="1" applyFill="1" applyBorder="1" applyAlignment="1">
      <x:alignment wrapText="1"/>
    </x:xf>
    <x:xf numFmtId="0" fontId="7" fillId="9" borderId="26" xfId="0" applyNumberFormat="1" applyFont="1" applyFill="1" applyBorder="1" applyAlignment="1">
      <x:alignment wrapText="1"/>
    </x:xf>
    <x:xf numFmtId="0" fontId="7" fillId="9" borderId="27" xfId="0" applyNumberFormat="1" applyFont="1" applyFill="1" applyBorder="1" applyAlignment="1">
      <x:alignment wrapText="1"/>
    </x:xf>
    <x:xf numFmtId="0" fontId="7" fillId="9" borderId="20" xfId="0" applyNumberFormat="1" applyFont="1" applyFill="1" applyBorder="1" applyAlignment="1">
      <x:alignment vertical="center" wrapText="1"/>
    </x:xf>
    <x:xf numFmtId="0" fontId="7" fillId="9" borderId="21" xfId="0" applyNumberFormat="1" applyFont="1" applyFill="1" applyBorder="1" applyAlignment="1">
      <x:alignment vertical="center" wrapText="1"/>
    </x:xf>
    <x:xf numFmtId="0" fontId="7" fillId="9" borderId="22" xfId="0" applyNumberFormat="1" applyFont="1" applyFill="1" applyBorder="1" applyAlignment="1">
      <x:alignment vertical="center" wrapText="1"/>
    </x:xf>
    <x:xf numFmtId="0" fontId="7" fillId="9" borderId="23" xfId="0" applyNumberFormat="1" applyFont="1" applyFill="1" applyBorder="1" applyAlignment="1">
      <x:alignment vertical="center" wrapText="1"/>
    </x:xf>
    <x:xf numFmtId="0" fontId="7" fillId="9" borderId="0" xfId="0" applyNumberFormat="1" applyFont="1" applyFill="1" applyBorder="1" applyAlignment="1">
      <x:alignment vertical="center" wrapText="1"/>
    </x:xf>
    <x:xf numFmtId="0" fontId="7" fillId="9" borderId="24" xfId="0" applyNumberFormat="1" applyFont="1" applyFill="1" applyBorder="1" applyAlignment="1">
      <x:alignment vertical="center" wrapText="1"/>
    </x:xf>
    <x:xf numFmtId="0" fontId="7" fillId="9" borderId="25" xfId="0" applyNumberFormat="1" applyFont="1" applyFill="1" applyBorder="1" applyAlignment="1">
      <x:alignment vertical="center" wrapText="1"/>
    </x:xf>
    <x:xf numFmtId="0" fontId="7" fillId="9" borderId="26" xfId="0" applyNumberFormat="1" applyFont="1" applyFill="1" applyBorder="1" applyAlignment="1">
      <x:alignment vertical="center" wrapText="1"/>
    </x:xf>
    <x:xf numFmtId="0" fontId="7" fillId="9" borderId="27" xfId="0" applyNumberFormat="1" applyFont="1" applyFill="1" applyBorder="1" applyAlignment="1">
      <x:alignment vertical="center" wrapText="1"/>
    </x:xf>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horizontal="center"/>
    </x:xf>
    <x:xf numFmtId="0" fontId="8" fillId="5" borderId="0" xfId="0" applyNumberFormat="1" applyFont="1" applyFill="1" applyBorder="1" applyAlignment="1">
      <x:alignment horizontal="center" vertical="center"/>
    </x:xf>
    <x:xf numFmtId="0" fontId="4" fillId="0" borderId="0" xfId="0" applyNumberFormat="1" applyFont="1" applyFill="1" applyBorder="1"/>
    <x:xf numFmtId="0" fontId="4" fillId="0" borderId="0" xfId="0" applyNumberFormat="1" applyFont="1" applyFill="1" applyBorder="1" applyAlignment="1">
      <x:alignment wrapText="1"/>
    </x:xf>
    <x:xf numFmtId="0" fontId="3" fillId="0" borderId="0" xfId="0" applyNumberFormat="1" applyFont="1" applyFill="1" applyBorder="1"/>
    <x:xf numFmtId="0" fontId="3" fillId="0" borderId="0" xfId="0" applyNumberFormat="1" applyFont="1" applyFill="1" applyBorder="1" applyAlignment="1">
      <x:alignment vertical="center"/>
    </x:xf>
    <x:xf numFmtId="200" fontId="2" fillId="0" borderId="17" xfId="0" applyNumberFormat="1" applyFont="1" applyFill="1" applyBorder="1" applyAlignment="1">
      <x:alignment vertical="center" wrapText="1"/>
    </x:xf>
    <x:xf numFmtId="200" fontId="2" fillId="0" borderId="18" xfId="0" applyNumberFormat="1" applyFont="1" applyFill="1" applyBorder="1" applyAlignment="1">
      <x:alignment vertical="center" wrapText="1"/>
    </x:xf>
    <x:xf numFmtId="202" fontId="2" fillId="0" borderId="18" xfId="0" applyNumberFormat="1" applyFont="1" applyFill="1" applyBorder="1" applyAlignment="1">
      <x:alignment vertical="center" wrapText="1"/>
    </x:xf>
    <x:xf numFmtId="201" fontId="2" fillId="0" borderId="17" xfId="0" applyNumberFormat="1" applyFont="1" applyFill="1" applyBorder="1" applyAlignment="1">
      <x:alignment vertical="center" wrapText="1"/>
    </x:xf>
    <x:xf numFmtId="201" fontId="2" fillId="0" borderId="18" xfId="0" applyNumberFormat="1" applyFont="1" applyFill="1" applyBorder="1" applyAlignment="1">
      <x:alignment vertical="center" wrapText="1"/>
    </x:xf>
    <x:xf numFmtId="201" fontId="2" fillId="0" borderId="19" xfId="0" applyNumberFormat="1" applyFont="1" applyFill="1" applyBorder="1" applyAlignment="1">
      <x:alignment vertical="center" wrapText="1"/>
    </x:xf>
    <x:xf numFmtId="0" fontId="9" fillId="3" borderId="0" xfId="0" applyNumberFormat="1" applyFont="1" applyFill="1" applyBorder="1"/>
    <x:xf numFmtId="0" fontId="9" fillId="3" borderId="0" xfId="0" applyNumberFormat="1" applyFont="1" applyFill="1" applyBorder="1" applyAlignment="1">
      <x:alignment wrapText="1"/>
    </x:xf>
    <x:xf numFmtId="0" fontId="9" fillId="3" borderId="0" xfId="0" applyNumberFormat="1" applyFont="1" applyFill="1" applyBorder="1" applyAlignment="1">
      <x:alignment vertical="center"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vertical="center" wrapText="1"/>
    </x:xf>
    <x:xf numFmtId="0" fontId="10" fillId="2" borderId="0" xfId="0" applyNumberFormat="1" applyFont="1" applyFill="1" applyBorder="1"/>
    <x:xf numFmtId="0" fontId="10" fillId="2" borderId="0" xfId="0" applyNumberFormat="1" applyFont="1" applyFill="1" applyBorder="1" applyAlignment="1">
      <x:alignment wrapText="1"/>
    </x:xf>
    <x:xf numFmtId="0" fontId="10" fillId="2" borderId="0" xfId="0" applyNumberFormat="1" applyFont="1" applyFill="1" applyBorder="1" applyAlignment="1">
      <x:alignment vertical="center" wrapText="1"/>
    </x:xf>
  </x:cellXfs>
  <x:cellStyles count="1">
    <x:cellStyle name="Normal" xfId="0"/>
  </x:cellStyles>
  <x:dxfs count="4">
    <x:dxf>
      <x:font>
        <x:b/>
        <x:color rgb="FFA06600"/>
      </x:font>
      <x:fill>
        <x:patternFill patternType="solid">
          <x:bgColor rgb="FFFFF6D8"/>
        </x:patternFill>
      </x:fill>
    </x:dxf>
    <x:dxf>
      <x:font>
        <x:b/>
        <x:color rgb="FF137B4B"/>
      </x:font>
      <x:fill>
        <x:patternFill patternType="solid">
          <x:bgColor rgb="FFE8F5EF"/>
        </x:patternFill>
      </x:fill>
    </x:dxf>
    <x:dxf>
      <x:font>
        <x:color rgb="FFA06600"/>
      </x:font>
      <x:fill>
        <x:patternFill patternType="solid">
          <x:bgColor rgb="FFFFF6D8"/>
        </x:patternFill>
      </x:fill>
    </x:dxf>
    <x:dxf>
      <x:font>
        <x:color rgb="FF137B4B"/>
      </x:font>
      <x:fill>
        <x:patternFill patternType="solid">
          <x:bgColor rgb="FFE8F5E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738301a53c4362" /><Relationship Type="http://schemas.openxmlformats.org/officeDocument/2006/relationships/theme" Target="/xl/theme/theme1.xml" Id="R84349318e06343f3" /><Relationship Type="http://schemas.openxmlformats.org/officeDocument/2006/relationships/sharedStrings" Target="/xl/sharedStrings.xml" Id="R1152f2ad0cfa4610" /><Relationship Type="http://schemas.openxmlformats.org/officeDocument/2006/relationships/worksheet" Target="/xl/worksheets/sheet1.xml" Id="R7d8b713d87954f09" /><Relationship Type="http://schemas.openxmlformats.org/officeDocument/2006/relationships/worksheet" Target="/xl/worksheets/sheet2.xml" Id="R42682655480a4ec7" /><Relationship Type="http://schemas.openxmlformats.org/officeDocument/2006/relationships/worksheet" Target="/xl/worksheets/sheet3.xml" Id="R63c299c22f8144aa" /></Relationships>
</file>

<file path=xl/drawings/_rels/drawing1.xml.rels>&#65279;<?xml version="1.0" encoding="utf-8"?><Relationships xmlns="http://schemas.openxmlformats.org/package/2006/relationships"><Relationship Type="http://schemas.openxmlformats.org/officeDocument/2006/relationships/chart" Target="/xl/drawings/charts/chart1.xml" Id="Re247a0cc82554c6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Monthly cost by capacity utilization</a:t>
            </a:r>
          </a:p>
        </c:rich>
      </c:tx>
      <c:overlay val="0"/>
    </c:title>
    <c:plotArea>
      <c:lineChart>
        <c:grouping val="standard"/>
        <c:varyColors val="0"/>
        <c:ser>
          <c:idx val="0"/>
          <c:order val="0"/>
          <c:tx>
            <c:v>Consumption monthly</c:v>
          </c:tx>
          <c:marker>
            <c:symbol val="none"/>
          </c:marker>
          <c:cat>
            <c:strRef>
              <c:f>'Results'!$A$32:$A$42</c:f>
              <c:strCache>
                <c:ptCount val="0"/>
              </c:strCache>
            </c:strRef>
          </c:cat>
          <c:val>
            <c:numRef>
              <c:f>'Results'!$B$32:$B$42</c:f>
              <c:numCache>
                <c:formatCode>#,##0;[Red](#,##0);-</c:formatCode>
                <c:ptCount val="0"/>
              </c:numCache>
            </c:numRef>
          </c:val>
          <c:smooth val="0"/>
        </c:ser>
        <c:ser>
          <c:idx val="1"/>
          <c:order val="1"/>
          <c:tx>
            <c:v>Reserved monthly</c:v>
          </c:tx>
          <c:marker>
            <c:symbol val="none"/>
          </c:marker>
          <c:cat>
            <c:strRef>
              <c:f>'Results'!$A$32:$A$42</c:f>
              <c:strCache>
                <c:ptCount val="0"/>
              </c:strCache>
            </c:strRef>
          </c:cat>
          <c:val>
            <c:numRef>
              <c:f>'Results'!$C$32:$C$42</c:f>
              <c:numCache>
                <c:formatCode>#,##0;[Red](#,##0);-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30</xdr:row>
      <xdr:rowOff>0</xdr:rowOff>
    </xdr:from>
    <xdr:to>
      <xdr:col>12</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247a0cc82554c6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89deefb0f1f742b1" /></Relationships>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42" hidden="0" customWidth="1"/>
    <x:col min="3" max="3" width="15" hidden="0" customWidth="1"/>
    <x:col min="4" max="4" width="18" hidden="0" customWidth="1"/>
    <x:col min="5" max="5" width="18" hidden="0" customWidth="1"/>
    <x:col min="6" max="6" width="18" hidden="0" customWidth="1"/>
  </x:cols>
  <x:sheetData>
    <x:row r="1" ht="32" customHeight="1">
      <x:c r="A1" s="3" t="str">
        <x:v>Reserved Capacity vs Consumption Calculator</x:v>
      </x:c>
      <x:c r="B1" s="3"/>
      <x:c r="C1" s="3"/>
      <x:c r="D1" s="3"/>
      <x:c r="E1" s="3"/>
      <x:c r="F1" s="3"/>
    </x:row>
    <x:row r="2" ht="26" customHeight="1">
      <x:c r="A2" s="7" t="str">
        <x:v>Enter the offer and measured workload evidence in the blue cells. The worked example is illustrative and uses USD.</x:v>
      </x:c>
      <x:c r="B2" s="7"/>
      <x:c r="C2" s="7"/>
      <x:c r="D2" s="7"/>
      <x:c r="E2" s="7"/>
      <x:c r="F2" s="7"/>
    </x:row>
    <x:row r="4" ht="24" customHeight="1">
      <x:c r="A4" s="10" t="str">
        <x:v>1. Capacity offer</x:v>
      </x:c>
      <x:c r="B4" s="10"/>
      <x:c r="C4" s="10"/>
      <x:c r="D4" s="10"/>
      <x:c r="E4" s="10"/>
      <x:c r="F4" s="10"/>
    </x:row>
    <x:row r="5" ht="36" customHeight="1">
      <x:c r="A5" s="12" t="str">
        <x:v>Scenario name</x:v>
      </x:c>
      <x:c r="B5" s="18" t="str">
        <x:v>Illustrative reserved offer</x:v>
      </x:c>
      <x:c r="C5" s="22" t="str"/>
      <x:c r="D5" s="22" t="str">
        <x:v>Name the offer or workload being tested.</x:v>
      </x:c>
      <x:c r="E5" s="22" t="str"/>
      <x:c r="F5" s="22" t="str"/>
    </x:row>
    <x:row r="6" ht="36" customHeight="1">
      <x:c r="A6" s="12" t="str">
        <x:v>Currency</x:v>
      </x:c>
      <x:c r="B6" s="19" t="str">
        <x:v>USD</x:v>
      </x:c>
      <x:c r="C6" s="22" t="str"/>
      <x:c r="D6" s="22" t="str">
        <x:v>Use the same currency for every monetary input.</x:v>
      </x:c>
      <x:c r="E6" s="22" t="str"/>
      <x:c r="F6" s="22" t="str"/>
    </x:row>
    <x:row r="7" ht="36" customHeight="1">
      <x:c r="A7" s="12" t="str">
        <x:v>Reserved capacity monthly fee</x:v>
      </x:c>
      <x:c r="B7" s="23" t="n">
        <x:v>10000</x:v>
      </x:c>
      <x:c r="C7" s="22" t="str">
        <x:v>per month</x:v>
      </x:c>
      <x:c r="D7" s="22" t="str">
        <x:v>Enter the net recurring fee for the offered capacity.</x:v>
      </x:c>
      <x:c r="E7" s="22" t="str"/>
      <x:c r="F7" s="22" t="str"/>
    </x:row>
    <x:row r="8" ht="36" customHeight="1">
      <x:c r="A8" s="12" t="str">
        <x:v>Additional reserved monthly costs</x:v>
      </x:c>
      <x:c r="B8" s="23" t="n">
        <x:v>0</x:v>
      </x:c>
      <x:c r="C8" s="22" t="str">
        <x:v>per month</x:v>
      </x:c>
      <x:c r="D8" s="22" t="str">
        <x:v>Include required support, platform, networking, or service charges tied to the reserved option.</x:v>
      </x:c>
      <x:c r="E8" s="22" t="str"/>
      <x:c r="F8" s="22" t="str"/>
    </x:row>
    <x:row r="9" ht="36" customHeight="1">
      <x:c r="A9" s="12" t="str">
        <x:v>One time reserved setup cost</x:v>
      </x:c>
      <x:c r="B9" s="23" t="n">
        <x:v>0</x:v>
      </x:c>
      <x:c r="C9" s="22" t="str">
        <x:v>one time</x:v>
      </x:c>
      <x:c r="D9" s="22" t="str">
        <x:v>Include implementation or deployment cost that exists only under the reserved option.</x:v>
      </x:c>
      <x:c r="E9" s="22" t="str"/>
      <x:c r="F9" s="22" t="str"/>
    </x:row>
    <x:row r="10" ht="36" customHeight="1">
      <x:c r="A10" s="12" t="str">
        <x:v>Commitment term</x:v>
      </x:c>
      <x:c r="B10" s="23" t="n">
        <x:v>12</x:v>
      </x:c>
      <x:c r="C10" s="22" t="str">
        <x:v>months</x:v>
      </x:c>
      <x:c r="D10" s="22" t="str">
        <x:v>Enter the period during which the reserved fee is committed.</x:v>
      </x:c>
      <x:c r="E10" s="22" t="str"/>
      <x:c r="F10" s="22" t="str"/>
    </x:row>
    <x:row r="11" ht="36" customHeight="1">
      <x:c r="A11" s="12" t="str">
        <x:v>Consumption cost at full offered capacity</x:v>
      </x:c>
      <x:c r="B11" s="23" t="n">
        <x:v>10000</x:v>
      </x:c>
      <x:c r="C11" s="22" t="str">
        <x:v>per month</x:v>
      </x:c>
      <x:c r="D11" s="22" t="str">
        <x:v>Enter what the same amount of work would cost on consumption pricing at 100 percent use of the offered capacity.</x:v>
      </x:c>
      <x:c r="E11" s="22" t="str"/>
      <x:c r="F11" s="22" t="str"/>
    </x:row>
    <x:row r="12" ht="48" customHeight="1">
      <x:c r="A12" s="12" t="str">
        <x:v>Offer source or quote reference</x:v>
      </x:c>
      <x:c r="B12" s="25" t="str">
        <x:v>AI Commercial Constructs Explained.pdf, worked example</x:v>
      </x:c>
      <x:c r="C12" s="22" t="str"/>
      <x:c r="D12" s="22" t="str">
        <x:v>Record the quote, rate card, proposal, or source that supports the commercial inputs.</x:v>
      </x:c>
      <x:c r="E12" s="22" t="str"/>
      <x:c r="F12" s="22" t="str"/>
    </x:row>
    <x:row r="13" ht="36" customHeight="1">
      <x:c r="A13" s="12" t="str">
        <x:v>Offer as at date</x:v>
      </x:c>
      <x:c r="B13" s="26" t="n">
        <x:v>46204</x:v>
      </x:c>
      <x:c r="C13" s="22" t="str"/>
      <x:c r="D13" s="22" t="str">
        <x:v>Use the date the quoted prices and terms were valid.</x:v>
      </x:c>
      <x:c r="E13" s="22" t="str"/>
      <x:c r="F13" s="22" t="str"/>
    </x:row>
    <x:row r="14" ht="36" customHeight="1">
      <x:c r="D14" s="50"/>
      <x:c r="E14" s="50"/>
      <x:c r="F14" s="50"/>
    </x:row>
    <x:row r="15" ht="36" customHeight="1">
      <x:c r="A15" s="10" t="str">
        <x:v>2. Production evidence</x:v>
      </x:c>
      <x:c r="B15" s="10"/>
      <x:c r="C15" s="10"/>
      <x:c r="D15" s="51"/>
      <x:c r="E15" s="51"/>
      <x:c r="F15" s="51"/>
    </x:row>
    <x:row r="16" ht="42" customHeight="1">
      <x:c r="A16" s="12" t="str">
        <x:v>Production telemetry available</x:v>
      </x:c>
      <x:c r="B16" s="27" t="n">
        <x:v>90</x:v>
      </x:c>
      <x:c r="C16" s="22" t="str">
        <x:v>days</x:v>
      </x:c>
      <x:c r="D16" s="22" t="str">
        <x:v>Record measured production traffic, not pilot estimates or a vendor forecast.</x:v>
      </x:c>
      <x:c r="E16" s="22" t="str"/>
      <x:c r="F16" s="22" t="str"/>
    </x:row>
    <x:row r="17" ht="42" customHeight="1">
      <x:c r="A17" s="12" t="str">
        <x:v>P95 sustained utilization of offered capacity</x:v>
      </x:c>
      <x:c r="B17" s="28" t="n">
        <x:v>0.3</x:v>
      </x:c>
      <x:c r="C17" s="22" t="str">
        <x:v>%</x:v>
      </x:c>
      <x:c r="D17" s="22" t="str">
        <x:v>Use sustained P95 utilization for the measured steady state load. Do not use the single highest peak.</x:v>
      </x:c>
      <x:c r="E17" s="22" t="str"/>
      <x:c r="F17" s="22" t="str"/>
    </x:row>
    <x:row r="18" ht="42" customHeight="1">
      <x:c r="A18" s="12" t="str">
        <x:v>Expected peak utilization of offered capacity</x:v>
      </x:c>
      <x:c r="B18" s="28" t="n">
        <x:v>0.6</x:v>
      </x:c>
      <x:c r="C18" s="22" t="str">
        <x:v>%</x:v>
      </x:c>
      <x:c r="D18" s="22" t="str">
        <x:v>Record the peak for context. The comparison does not use it to justify the fixed commitment.</x:v>
      </x:c>
      <x:c r="E18" s="22" t="str"/>
      <x:c r="F18" s="22" t="str"/>
    </x:row>
    <x:row r="19" ht="42" customHeight="1">
      <x:c r="A19" s="12" t="str">
        <x:v>Low utilization scenario</x:v>
      </x:c>
      <x:c r="B19" s="28" t="n">
        <x:v>0.2</x:v>
      </x:c>
      <x:c r="C19" s="22" t="str">
        <x:v>%</x:v>
      </x:c>
      <x:c r="D19" s="22" t="str">
        <x:v>Set a downside scenario that reflects adoption and ramp risk.</x:v>
      </x:c>
      <x:c r="E19" s="22" t="str"/>
      <x:c r="F19" s="22" t="str"/>
    </x:row>
    <x:row r="20" ht="42" customHeight="1">
      <x:c r="A20" s="12" t="str">
        <x:v>High utilization scenario</x:v>
      </x:c>
      <x:c r="B20" s="29" t="n">
        <x:v>0.8</x:v>
      </x:c>
      <x:c r="C20" s="22" t="str">
        <x:v>%</x:v>
      </x:c>
      <x:c r="D20" s="22" t="str">
        <x:v>Set an upside scenario that remains within the offered capacity.</x:v>
      </x:c>
      <x:c r="E20" s="22" t="str"/>
      <x:c r="F20" s="22" t="str"/>
    </x:row>
    <x:row r="22">
      <x:c r="A22" s="44" t="str">
        <x:v>Default scenario: USD 10,000 per month of reserved capacity at 30 percent utilization. The equivalent consumption cost is USD 3,000 per month, leaving USD 7,000 per month, or USD 84,000 per year, stranded in the commitment.</x:v>
      </x:c>
      <x:c r="B22" s="45"/>
      <x:c r="C22" s="45"/>
      <x:c r="D22" s="45"/>
      <x:c r="E22" s="45"/>
      <x:c r="F22" s="46"/>
    </x:row>
    <x:row r="23">
      <x:c r="A23" s="47"/>
      <x:c r="B23" s="48"/>
      <x:c r="C23" s="48"/>
      <x:c r="D23" s="48"/>
      <x:c r="E23" s="48"/>
      <x:c r="F23" s="49"/>
    </x:row>
  </x:sheetData>
  <x:mergeCells>
    <x:mergeCell ref="A1:F1"/>
    <x:mergeCell ref="A2:F2"/>
    <x:mergeCell ref="A4:F4"/>
    <x:mergeCell ref="D5:F5"/>
    <x:mergeCell ref="D6:F6"/>
    <x:mergeCell ref="D7:F7"/>
    <x:mergeCell ref="D8:F8"/>
    <x:mergeCell ref="D9:F9"/>
    <x:mergeCell ref="D10:F10"/>
    <x:mergeCell ref="D11:F11"/>
    <x:mergeCell ref="D12:F12"/>
    <x:mergeCell ref="D13:F13"/>
    <x:mergeCell ref="A15:F15"/>
    <x:mergeCell ref="D16:F16"/>
    <x:mergeCell ref="D17:F17"/>
    <x:mergeCell ref="D18:F18"/>
    <x:mergeCell ref="D19:F19"/>
    <x:mergeCell ref="D20:F20"/>
    <x:mergeCell ref="A22:F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 hidden="0" customWidth="1"/>
    <x:col min="2" max="2" width="18" hidden="0" customWidth="1"/>
    <x:col min="3" max="3" width="19" hidden="0" customWidth="1"/>
    <x:col min="4" max="4" width="19" hidden="0" customWidth="1"/>
    <x:col min="5" max="5" width="19" hidden="0" customWidth="1"/>
    <x:col min="6" max="6" width="19" hidden="0" customWidth="1"/>
    <x:col min="7" max="7" width="22" hidden="0" customWidth="1"/>
    <x:col min="8" max="8" width="22" hidden="0" customWidth="1"/>
  </x:cols>
  <x:sheetData>
    <x:row r="1" ht="32" customHeight="1">
      <x:c r="A1" s="3" t="str">
        <x:v>Reserved Capacity Comparison</x:v>
      </x:c>
      <x:c r="B1" s="3"/>
      <x:c r="C1" s="3"/>
      <x:c r="D1" s="3"/>
      <x:c r="E1" s="3"/>
      <x:c r="F1" s="3"/>
      <x:c r="G1" s="3"/>
      <x:c r="H1" s="3"/>
    </x:row>
    <x:row r="2" ht="26" customHeight="1">
      <x:c r="A2" s="7" t="str">
        <x:v>Formula driven from the Inputs sheet. Positive differences mean reserved capacity costs more than consumption.</x:v>
      </x:c>
      <x:c r="B2" s="7"/>
      <x:c r="C2" s="7"/>
      <x:c r="D2" s="7"/>
      <x:c r="E2" s="7"/>
      <x:c r="F2" s="7"/>
      <x:c r="G2" s="7"/>
      <x:c r="H2" s="7"/>
    </x:row>
    <x:row r="4" ht="28" customHeight="1">
      <x:c r="A4" s="59" t="str">
        <x:f>IF(OR('Inputs'!$B$7&lt;=0,'Inputs'!$B$10&lt;=0,'Inputs'!$B$11&lt;=0,ISBLANK('Inputs'!$B$17)),"Complete the required inputs",IF((('Inputs'!$B$7+'Inputs'!$B$8+('Inputs'!$B$9/'Inputs'!$B$10))-('Inputs'!$B$11*'Inputs'!$B$17))&gt;0,"At P95 utilization, consumption is the lower cost structure",IF((('Inputs'!$B$7+'Inputs'!$B$8+('Inputs'!$B$9/'Inputs'!$B$10))-('Inputs'!$B$11*'Inputs'!$B$17))&lt;0,"At P95 utilization, reserved capacity is the lower cost structure","The two structures are at break even")))</x:f>
        <x:v>At P95 utilization, consumption is the lower cost structure</x:v>
      </x:c>
      <x:c r="B4" s="60"/>
      <x:c r="C4" s="60"/>
      <x:c r="D4" s="60"/>
      <x:c r="E4" s="60"/>
      <x:c r="F4" s="60"/>
      <x:c r="G4" s="60"/>
      <x:c r="H4" s="61"/>
    </x:row>
    <x:row r="6">
      <x:c r="A6" s="65" t="str">
        <x:v>RESERVED MONTHLY COST</x:v>
      </x:c>
      <x:c r="B6" s="65"/>
      <x:c r="D6" s="65" t="str">
        <x:v>CONSUMPTION AT P95</x:v>
      </x:c>
      <x:c r="E6" s="65"/>
      <x:c r="G6" s="65" t="str">
        <x:v>MONTHLY DIFFERENCE</x:v>
      </x:c>
      <x:c r="H6" s="65"/>
    </x:row>
    <x:row r="7">
      <x:c r="A7" s="80" t="n">
        <x:f>IF('Inputs'!$B$10&lt;=0,"",'Inputs'!$B$7+'Inputs'!$B$8+('Inputs'!$B$9/'Inputs'!$B$10))</x:f>
        <x:v>10000</x:v>
      </x:c>
      <x:c r="B7" s="81"/>
      <x:c r="D7" s="80" t="n">
        <x:f>IF('Inputs'!$B$11&lt;=0,"",'Inputs'!$B$11*'Inputs'!$B$17)</x:f>
        <x:v>3000</x:v>
      </x:c>
      <x:c r="E7" s="81"/>
      <x:c r="G7" s="92" t="n">
        <x:f>IF(OR('Inputs'!$B$7&lt;=0,'Inputs'!$B$10&lt;=0,'Inputs'!$B$11&lt;=0),"",A7-D7)</x:f>
        <x:v>7000</x:v>
      </x:c>
      <x:c r="H7" s="93"/>
    </x:row>
    <x:row r="8">
      <x:c r="A8" s="82"/>
      <x:c r="B8" s="83"/>
      <x:c r="D8" s="82"/>
      <x:c r="E8" s="83"/>
      <x:c r="G8" s="94"/>
      <x:c r="H8" s="95"/>
    </x:row>
    <x:row r="10">
      <x:c r="A10" s="65" t="str">
        <x:v>BREAK EVEN UTILIZATION</x:v>
      </x:c>
      <x:c r="B10" s="65"/>
      <x:c r="D10" s="65" t="str">
        <x:v>IDLE RESERVED SPEND</x:v>
      </x:c>
      <x:c r="E10" s="65"/>
      <x:c r="G10" s="65" t="str">
        <x:v>TERM DIFFERENCE</x:v>
      </x:c>
      <x:c r="H10" s="65"/>
    </x:row>
    <x:row r="11">
      <x:c r="A11" s="104" t="n">
        <x:f>IF(OR('Inputs'!$B$10&lt;=0,'Inputs'!$B$11&lt;=0),"",('Inputs'!$B$7+'Inputs'!$B$8+('Inputs'!$B$9/'Inputs'!$B$10))/'Inputs'!$B$11)</x:f>
        <x:v>1</x:v>
      </x:c>
      <x:c r="B11" s="105"/>
      <x:c r="D11" s="92" t="n">
        <x:f>IF(A7="","",A7*(1-'Inputs'!$B$17))</x:f>
        <x:v>7000</x:v>
      </x:c>
      <x:c r="E11" s="93"/>
      <x:c r="G11" s="92" t="n">
        <x:f>IF(OR('Inputs'!$B$7&lt;=0,'Inputs'!$B$10&lt;=0,'Inputs'!$B$11&lt;=0),"",G7*'Inputs'!$B$10)</x:f>
        <x:v>84000</x:v>
      </x:c>
      <x:c r="H11" s="93"/>
    </x:row>
    <x:row r="12">
      <x:c r="A12" s="106"/>
      <x:c r="B12" s="107"/>
      <x:c r="D12" s="94"/>
      <x:c r="E12" s="95"/>
      <x:c r="G12" s="94"/>
      <x:c r="H12" s="95"/>
    </x:row>
    <x:row r="14" ht="24" customHeight="1">
      <x:c r="A14" s="10" t="str">
        <x:v>Scenario comparison</x:v>
      </x:c>
      <x:c r="B14" s="10"/>
      <x:c r="C14" s="10"/>
      <x:c r="D14" s="10"/>
      <x:c r="E14" s="10"/>
      <x:c r="F14" s="10"/>
      <x:c r="G14" s="10"/>
      <x:c r="H14" s="10"/>
    </x:row>
    <x:row r="16">
      <x:c r="A16" s="110" t="str">
        <x:v>Scenario</x:v>
      </x:c>
      <x:c r="B16" s="110" t="str">
        <x:v>Utilization</x:v>
      </x:c>
      <x:c r="C16" s="110" t="str">
        <x:v>Consumption monthly</x:v>
      </x:c>
      <x:c r="D16" s="110" t="str">
        <x:v>Reserved monthly</x:v>
      </x:c>
      <x:c r="E16" s="110" t="str">
        <x:v>Monthly difference</x:v>
      </x:c>
      <x:c r="F16" s="110" t="str">
        <x:v>Term difference</x:v>
      </x:c>
      <x:c r="G16" s="110" t="str">
        <x:v>Lower cost structure</x:v>
      </x:c>
      <x:c r="H16" s="110" t="str">
        <x:v>Gap to break even</x:v>
      </x:c>
    </x:row>
    <x:row r="17">
      <x:c r="A17" s="114" t="str">
        <x:v>Low</x:v>
      </x:c>
      <x:c r="B17" s="119" t="n">
        <x:f>'Inputs'!$B$19</x:f>
        <x:v>0.2</x:v>
      </x:c>
      <x:c r="C17" s="122" t="n">
        <x:f>IF('Inputs'!$B$11&lt;=0,"",'Inputs'!$B$11*B17)</x:f>
        <x:v>2000</x:v>
      </x:c>
      <x:c r="D17" s="122" t="n">
        <x:f>IF('Inputs'!$B$10&lt;=0,"",'Inputs'!$B$7+'Inputs'!$B$8+('Inputs'!$B$9/'Inputs'!$B$10))</x:f>
        <x:v>10000</x:v>
      </x:c>
      <x:c r="E17" s="122" t="n">
        <x:f>IF(OR('Inputs'!$B$7&lt;=0,'Inputs'!$B$10&lt;=0,'Inputs'!$B$11&lt;=0),"",D17-C17)</x:f>
        <x:v>8000</x:v>
      </x:c>
      <x:c r="F17" s="122" t="n">
        <x:f>IF(OR('Inputs'!$B$7&lt;=0,'Inputs'!$B$10&lt;=0,'Inputs'!$B$11&lt;=0),"",E17*'Inputs'!$B$10)</x:f>
        <x:v>96000</x:v>
      </x:c>
      <x:c r="G17" s="114" t="str">
        <x:f>IF(OR('Inputs'!$B$7&lt;=0,'Inputs'!$B$10&lt;=0,'Inputs'!$B$11&lt;=0),"Missing inputs",IF(E17&gt;0,"Consumption",IF(E17&lt;0,"Reserved","Equal")))</x:f>
        <x:v>Consumption</x:v>
      </x:c>
      <x:c r="H17" s="125" t="n">
        <x:f>IF(OR('Inputs'!$B$10&lt;=0,'Inputs'!$B$11&lt;=0),"",B17-$A$11)</x:f>
        <x:v>-0.8</x:v>
      </x:c>
    </x:row>
    <x:row r="18">
      <x:c r="A18" s="118" t="str">
        <x:v>P95 sustained</x:v>
      </x:c>
      <x:c r="B18" s="120" t="n">
        <x:f>'Inputs'!$B$17</x:f>
        <x:v>0.3</x:v>
      </x:c>
      <x:c r="C18" s="123" t="n">
        <x:f>IF('Inputs'!$B$11&lt;=0,"",'Inputs'!$B$11*B18)</x:f>
        <x:v>3000</x:v>
      </x:c>
      <x:c r="D18" s="123" t="n">
        <x:f>IF('Inputs'!$B$10&lt;=0,"",'Inputs'!$B$7+'Inputs'!$B$8+('Inputs'!$B$9/'Inputs'!$B$10))</x:f>
        <x:v>10000</x:v>
      </x:c>
      <x:c r="E18" s="123" t="n">
        <x:f>IF(OR('Inputs'!$B$7&lt;=0,'Inputs'!$B$10&lt;=0,'Inputs'!$B$11&lt;=0),"",D18-C18)</x:f>
        <x:v>7000</x:v>
      </x:c>
      <x:c r="F18" s="123" t="n">
        <x:f>IF(OR('Inputs'!$B$7&lt;=0,'Inputs'!$B$10&lt;=0,'Inputs'!$B$11&lt;=0),"",E18*'Inputs'!$B$10)</x:f>
        <x:v>84000</x:v>
      </x:c>
      <x:c r="G18" s="118" t="str">
        <x:f>IF(OR('Inputs'!$B$7&lt;=0,'Inputs'!$B$10&lt;=0,'Inputs'!$B$11&lt;=0),"Missing inputs",IF(E18&gt;0,"Consumption",IF(E18&lt;0,"Reserved","Equal")))</x:f>
        <x:v>Consumption</x:v>
      </x:c>
      <x:c r="H18" s="126" t="n">
        <x:f>IF(OR('Inputs'!$B$10&lt;=0,'Inputs'!$B$11&lt;=0),"",B18-$A$11)</x:f>
        <x:v>-0.7</x:v>
      </x:c>
    </x:row>
    <x:row r="19">
      <x:c r="A19" s="116" t="str">
        <x:v>High</x:v>
      </x:c>
      <x:c r="B19" s="121" t="n">
        <x:f>'Inputs'!$B$20</x:f>
        <x:v>0.8</x:v>
      </x:c>
      <x:c r="C19" s="124" t="n">
        <x:f>IF('Inputs'!$B$11&lt;=0,"",'Inputs'!$B$11*B19)</x:f>
        <x:v>8000</x:v>
      </x:c>
      <x:c r="D19" s="124" t="n">
        <x:f>IF('Inputs'!$B$10&lt;=0,"",'Inputs'!$B$7+'Inputs'!$B$8+('Inputs'!$B$9/'Inputs'!$B$10))</x:f>
        <x:v>10000</x:v>
      </x:c>
      <x:c r="E19" s="124" t="n">
        <x:f>IF(OR('Inputs'!$B$7&lt;=0,'Inputs'!$B$10&lt;=0,'Inputs'!$B$11&lt;=0),"",D19-C19)</x:f>
        <x:v>2000</x:v>
      </x:c>
      <x:c r="F19" s="124" t="n">
        <x:f>IF(OR('Inputs'!$B$7&lt;=0,'Inputs'!$B$10&lt;=0,'Inputs'!$B$11&lt;=0),"",E19*'Inputs'!$B$10)</x:f>
        <x:v>24000</x:v>
      </x:c>
      <x:c r="G19" s="116" t="str">
        <x:f>IF(OR('Inputs'!$B$7&lt;=0,'Inputs'!$B$10&lt;=0,'Inputs'!$B$11&lt;=0),"Missing inputs",IF(E19&gt;0,"Consumption",IF(E19&lt;0,"Reserved","Equal")))</x:f>
        <x:v>Consumption</x:v>
      </x:c>
      <x:c r="H19" s="127" t="n">
        <x:f>IF(OR('Inputs'!$B$10&lt;=0,'Inputs'!$B$11&lt;=0),"",B19-$A$11)</x:f>
        <x:v>-0.19999999999999996</x:v>
      </x:c>
    </x:row>
    <x:row r="21" ht="24" customHeight="1">
      <x:c r="A21" s="10" t="str">
        <x:v>Evidence checks</x:v>
      </x:c>
      <x:c r="B21" s="10"/>
      <x:c r="C21" s="10"/>
      <x:c r="D21" s="10"/>
      <x:c r="E21" s="10"/>
      <x:c r="F21" s="10"/>
      <x:c r="G21" s="10"/>
      <x:c r="H21" s="10"/>
    </x:row>
    <x:row r="23">
      <x:c r="A23" s="110" t="str">
        <x:v>Check</x:v>
      </x:c>
      <x:c r="B23" s="110" t="str">
        <x:v>Current evidence</x:v>
      </x:c>
      <x:c r="C23" s="110" t="str">
        <x:v>What it means</x:v>
      </x:c>
      <x:c r="D23" s="110"/>
      <x:c r="E23" s="110"/>
      <x:c r="F23" s="110"/>
      <x:c r="G23" s="110"/>
      <x:c r="H23" s="110"/>
    </x:row>
    <x:row r="24" ht="34" customHeight="1">
      <x:c r="A24" s="131" t="str">
        <x:v>Production telemetry</x:v>
      </x:c>
      <x:c r="B24" s="134" t="str">
        <x:f>IF('Inputs'!$B$16&gt;=90,"90 days or more recorded",IF('Inputs'!$B$16&gt;=60,"60 to 89 days recorded","Less than 60 days recorded"))</x:f>
        <x:v>90 days or more recorded</x:v>
      </x:c>
      <x:c r="C24" s="131" t="str">
        <x:v>The July 2026 source sequence calls for 60 to 90 days of production measurement before converting a proven steady state load.</x:v>
      </x:c>
      <x:c r="D24" s="131"/>
      <x:c r="E24" s="131"/>
      <x:c r="F24" s="131"/>
      <x:c r="G24" s="131"/>
      <x:c r="H24" s="131"/>
    </x:row>
    <x:row r="25" ht="34" customHeight="1">
      <x:c r="A25" s="132" t="str">
        <x:v>P95 sustained utilization</x:v>
      </x:c>
      <x:c r="B25" s="135" t="str">
        <x:f>IF(ISBLANK('Inputs'!$B$17),"Missing",TEXT('Inputs'!$B$17,"0.0%"))</x:f>
        <x:v>30.0%</x:v>
      </x:c>
      <x:c r="C25" s="132" t="str">
        <x:v>P95 sustained utilization is the load used in this comparison. Peak and forecast values do not replace it.</x:v>
      </x:c>
      <x:c r="D25" s="132"/>
      <x:c r="E25" s="132"/>
      <x:c r="F25" s="132"/>
      <x:c r="G25" s="132"/>
      <x:c r="H25" s="132"/>
    </x:row>
    <x:row r="26" ht="34" customHeight="1">
      <x:c r="A26" s="132" t="str">
        <x:v>Commercial source</x:v>
      </x:c>
      <x:c r="B26" s="135" t="str">
        <x:f>IF('Inputs'!$B$12="","Missing","Recorded")</x:f>
        <x:v>Recorded</x:v>
      </x:c>
      <x:c r="C26" s="132" t="str">
        <x:v>The reserved fee and consumption equivalent need a dated vendor source before the output enters a business case.</x:v>
      </x:c>
      <x:c r="D26" s="132"/>
      <x:c r="E26" s="132"/>
      <x:c r="F26" s="132"/>
      <x:c r="G26" s="132"/>
      <x:c r="H26" s="132"/>
    </x:row>
    <x:row r="27" ht="34" customHeight="1">
      <x:c r="A27" s="133" t="str">
        <x:v>Offer date</x:v>
      </x:c>
      <x:c r="B27" s="136" t="str">
        <x:f>IF('Inputs'!$B$13="","Missing",TEXT('Inputs'!$B$13,"yyyy-mm-dd"))</x:f>
        <x:v>2026-07-01</x:v>
      </x:c>
      <x:c r="C27" s="133" t="str">
        <x:v>Pricing and capacity terms move. Confirm that both structures use the same model, endpoint, currency, volume tier, and support conditions.</x:v>
      </x:c>
      <x:c r="D27" s="133"/>
      <x:c r="E27" s="133"/>
      <x:c r="F27" s="133"/>
      <x:c r="G27" s="133"/>
      <x:c r="H27" s="133"/>
    </x:row>
    <x:row r="29" ht="24" customHeight="1">
      <x:c r="A29" s="10" t="str">
        <x:v>Cost curve by utilization</x:v>
      </x:c>
      <x:c r="B29" s="10"/>
      <x:c r="C29" s="10"/>
      <x:c r="D29" s="10"/>
      <x:c r="E29" s="10"/>
      <x:c r="F29" s="10"/>
      <x:c r="G29" s="10"/>
      <x:c r="H29" s="10"/>
    </x:row>
    <x:row r="31">
      <x:c r="A31" s="110" t="str">
        <x:v>Utilization</x:v>
      </x:c>
      <x:c r="B31" s="110" t="str">
        <x:v>Consumption monthly</x:v>
      </x:c>
      <x:c r="C31" s="110" t="str">
        <x:v>Reserved monthly</x:v>
      </x:c>
      <x:c r="D31" s="110" t="str">
        <x:v>Difference</x:v>
      </x:c>
    </x:row>
    <x:row r="32">
      <x:c r="A32" s="111" t="str">
        <x:v>0%</x:v>
      </x:c>
      <x:c r="B32" s="137" t="n">
        <x:f>'Inputs'!$B$11*((ROW()-32)/10)</x:f>
        <x:v>0</x:v>
      </x:c>
      <x:c r="C32" s="137" t="n">
        <x:f>IF('Inputs'!$B$10&lt;=0,"",'Inputs'!$B$7+'Inputs'!$B$8+('Inputs'!$B$9/'Inputs'!$B$10))</x:f>
        <x:v>10000</x:v>
      </x:c>
      <x:c r="D32" s="137" t="n">
        <x:f>IF(OR('Inputs'!$B$7&lt;=0,'Inputs'!$B$10&lt;=0,'Inputs'!$B$11&lt;=0),"",C32-B32)</x:f>
        <x:v>10000</x:v>
      </x:c>
    </x:row>
    <x:row r="33">
      <x:c r="A33" s="112" t="str">
        <x:v>10%</x:v>
      </x:c>
      <x:c r="B33" s="138" t="n">
        <x:f>'Inputs'!$B$11*((ROW()-32)/10)</x:f>
        <x:v>1000</x:v>
      </x:c>
      <x:c r="C33" s="138" t="n">
        <x:f>IF('Inputs'!$B$10&lt;=0,"",'Inputs'!$B$7+'Inputs'!$B$8+('Inputs'!$B$9/'Inputs'!$B$10))</x:f>
        <x:v>10000</x:v>
      </x:c>
      <x:c r="D33" s="138" t="n">
        <x:f>IF(OR('Inputs'!$B$7&lt;=0,'Inputs'!$B$10&lt;=0,'Inputs'!$B$11&lt;=0),"",C33-B33)</x:f>
        <x:v>9000</x:v>
      </x:c>
    </x:row>
    <x:row r="34">
      <x:c r="A34" s="112" t="str">
        <x:v>20%</x:v>
      </x:c>
      <x:c r="B34" s="138" t="n">
        <x:f>'Inputs'!$B$11*((ROW()-32)/10)</x:f>
        <x:v>2000</x:v>
      </x:c>
      <x:c r="C34" s="138" t="n">
        <x:f>IF('Inputs'!$B$10&lt;=0,"",'Inputs'!$B$7+'Inputs'!$B$8+('Inputs'!$B$9/'Inputs'!$B$10))</x:f>
        <x:v>10000</x:v>
      </x:c>
      <x:c r="D34" s="138" t="n">
        <x:f>IF(OR('Inputs'!$B$7&lt;=0,'Inputs'!$B$10&lt;=0,'Inputs'!$B$11&lt;=0),"",C34-B34)</x:f>
        <x:v>8000</x:v>
      </x:c>
    </x:row>
    <x:row r="35">
      <x:c r="A35" s="112" t="str">
        <x:v>30%</x:v>
      </x:c>
      <x:c r="B35" s="138" t="n">
        <x:f>'Inputs'!$B$11*((ROW()-32)/10)</x:f>
        <x:v>3000</x:v>
      </x:c>
      <x:c r="C35" s="138" t="n">
        <x:f>IF('Inputs'!$B$10&lt;=0,"",'Inputs'!$B$7+'Inputs'!$B$8+('Inputs'!$B$9/'Inputs'!$B$10))</x:f>
        <x:v>10000</x:v>
      </x:c>
      <x:c r="D35" s="138" t="n">
        <x:f>IF(OR('Inputs'!$B$7&lt;=0,'Inputs'!$B$10&lt;=0,'Inputs'!$B$11&lt;=0),"",C35-B35)</x:f>
        <x:v>7000</x:v>
      </x:c>
    </x:row>
    <x:row r="36">
      <x:c r="A36" s="112" t="str">
        <x:v>40%</x:v>
      </x:c>
      <x:c r="B36" s="138" t="n">
        <x:f>'Inputs'!$B$11*((ROW()-32)/10)</x:f>
        <x:v>4000</x:v>
      </x:c>
      <x:c r="C36" s="138" t="n">
        <x:f>IF('Inputs'!$B$10&lt;=0,"",'Inputs'!$B$7+'Inputs'!$B$8+('Inputs'!$B$9/'Inputs'!$B$10))</x:f>
        <x:v>10000</x:v>
      </x:c>
      <x:c r="D36" s="138" t="n">
        <x:f>IF(OR('Inputs'!$B$7&lt;=0,'Inputs'!$B$10&lt;=0,'Inputs'!$B$11&lt;=0),"",C36-B36)</x:f>
        <x:v>6000</x:v>
      </x:c>
    </x:row>
    <x:row r="37">
      <x:c r="A37" s="112" t="str">
        <x:v>50%</x:v>
      </x:c>
      <x:c r="B37" s="138" t="n">
        <x:f>'Inputs'!$B$11*((ROW()-32)/10)</x:f>
        <x:v>5000</x:v>
      </x:c>
      <x:c r="C37" s="138" t="n">
        <x:f>IF('Inputs'!$B$10&lt;=0,"",'Inputs'!$B$7+'Inputs'!$B$8+('Inputs'!$B$9/'Inputs'!$B$10))</x:f>
        <x:v>10000</x:v>
      </x:c>
      <x:c r="D37" s="138" t="n">
        <x:f>IF(OR('Inputs'!$B$7&lt;=0,'Inputs'!$B$10&lt;=0,'Inputs'!$B$11&lt;=0),"",C37-B37)</x:f>
        <x:v>5000</x:v>
      </x:c>
    </x:row>
    <x:row r="38">
      <x:c r="A38" s="112" t="str">
        <x:v>60%</x:v>
      </x:c>
      <x:c r="B38" s="138" t="n">
        <x:f>'Inputs'!$B$11*((ROW()-32)/10)</x:f>
        <x:v>6000</x:v>
      </x:c>
      <x:c r="C38" s="138" t="n">
        <x:f>IF('Inputs'!$B$10&lt;=0,"",'Inputs'!$B$7+'Inputs'!$B$8+('Inputs'!$B$9/'Inputs'!$B$10))</x:f>
        <x:v>10000</x:v>
      </x:c>
      <x:c r="D38" s="138" t="n">
        <x:f>IF(OR('Inputs'!$B$7&lt;=0,'Inputs'!$B$10&lt;=0,'Inputs'!$B$11&lt;=0),"",C38-B38)</x:f>
        <x:v>4000</x:v>
      </x:c>
    </x:row>
    <x:row r="39">
      <x:c r="A39" s="112" t="str">
        <x:v>70%</x:v>
      </x:c>
      <x:c r="B39" s="138" t="n">
        <x:f>'Inputs'!$B$11*((ROW()-32)/10)</x:f>
        <x:v>7000</x:v>
      </x:c>
      <x:c r="C39" s="138" t="n">
        <x:f>IF('Inputs'!$B$10&lt;=0,"",'Inputs'!$B$7+'Inputs'!$B$8+('Inputs'!$B$9/'Inputs'!$B$10))</x:f>
        <x:v>10000</x:v>
      </x:c>
      <x:c r="D39" s="138" t="n">
        <x:f>IF(OR('Inputs'!$B$7&lt;=0,'Inputs'!$B$10&lt;=0,'Inputs'!$B$11&lt;=0),"",C39-B39)</x:f>
        <x:v>3000</x:v>
      </x:c>
    </x:row>
    <x:row r="40">
      <x:c r="A40" s="112" t="str">
        <x:v>80%</x:v>
      </x:c>
      <x:c r="B40" s="138" t="n">
        <x:f>'Inputs'!$B$11*((ROW()-32)/10)</x:f>
        <x:v>8000</x:v>
      </x:c>
      <x:c r="C40" s="138" t="n">
        <x:f>IF('Inputs'!$B$10&lt;=0,"",'Inputs'!$B$7+'Inputs'!$B$8+('Inputs'!$B$9/'Inputs'!$B$10))</x:f>
        <x:v>10000</x:v>
      </x:c>
      <x:c r="D40" s="138" t="n">
        <x:f>IF(OR('Inputs'!$B$7&lt;=0,'Inputs'!$B$10&lt;=0,'Inputs'!$B$11&lt;=0),"",C40-B40)</x:f>
        <x:v>2000</x:v>
      </x:c>
    </x:row>
    <x:row r="41">
      <x:c r="A41" s="112" t="str">
        <x:v>90%</x:v>
      </x:c>
      <x:c r="B41" s="138" t="n">
        <x:f>'Inputs'!$B$11*((ROW()-32)/10)</x:f>
        <x:v>9000</x:v>
      </x:c>
      <x:c r="C41" s="138" t="n">
        <x:f>IF('Inputs'!$B$10&lt;=0,"",'Inputs'!$B$7+'Inputs'!$B$8+('Inputs'!$B$9/'Inputs'!$B$10))</x:f>
        <x:v>10000</x:v>
      </x:c>
      <x:c r="D41" s="138" t="n">
        <x:f>IF(OR('Inputs'!$B$7&lt;=0,'Inputs'!$B$10&lt;=0,'Inputs'!$B$11&lt;=0),"",C41-B41)</x:f>
        <x:v>1000</x:v>
      </x:c>
    </x:row>
    <x:row r="42">
      <x:c r="A42" s="113" t="str">
        <x:v>100%</x:v>
      </x:c>
      <x:c r="B42" s="139" t="n">
        <x:f>'Inputs'!$B$11*((ROW()-32)/10)</x:f>
        <x:v>10000</x:v>
      </x:c>
      <x:c r="C42" s="139" t="n">
        <x:f>IF('Inputs'!$B$10&lt;=0,"",'Inputs'!$B$7+'Inputs'!$B$8+('Inputs'!$B$9/'Inputs'!$B$10))</x:f>
        <x:v>10000</x:v>
      </x:c>
      <x:c r="D42" s="139" t="n">
        <x:f>IF(OR('Inputs'!$B$7&lt;=0,'Inputs'!$B$10&lt;=0,'Inputs'!$B$11&lt;=0),"",C42-B42)</x:f>
        <x:v>0</x:v>
      </x:c>
    </x:row>
    <x:row r="45">
      <x:c r="A45" s="159" t="str">
        <x:v>Human review: this workbook compares cost structures. It does not approve a commitment. The accountable technical owner must validate the telemetry, P95 load, capacity sizing, performance need, and peak treatment. Procurement must validate the rates, term, exit conditions, drawdown treatment, and all excluded costs.</x:v>
      </x:c>
      <x:c r="B45" s="160"/>
      <x:c r="C45" s="160"/>
      <x:c r="D45" s="160"/>
      <x:c r="E45" s="160"/>
      <x:c r="F45" s="160"/>
      <x:c r="G45" s="160"/>
      <x:c r="H45" s="161"/>
    </x:row>
    <x:row r="46">
      <x:c r="A46" s="162"/>
      <x:c r="B46" s="163"/>
      <x:c r="C46" s="163"/>
      <x:c r="D46" s="163"/>
      <x:c r="E46" s="163"/>
      <x:c r="F46" s="163"/>
      <x:c r="G46" s="163"/>
      <x:c r="H46" s="164"/>
    </x:row>
    <x:row r="47">
      <x:c r="A47" s="165"/>
      <x:c r="B47" s="166"/>
      <x:c r="C47" s="166"/>
      <x:c r="D47" s="166"/>
      <x:c r="E47" s="166"/>
      <x:c r="F47" s="166"/>
      <x:c r="G47" s="166"/>
      <x:c r="H47" s="167"/>
    </x:row>
  </x:sheetData>
  <x:mergeCells>
    <x:mergeCell ref="A1:H1"/>
    <x:mergeCell ref="A2:H2"/>
    <x:mergeCell ref="A4:H4"/>
    <x:mergeCell ref="A6:B6"/>
    <x:mergeCell ref="A7:B8"/>
    <x:mergeCell ref="D6:E6"/>
    <x:mergeCell ref="D7:E8"/>
    <x:mergeCell ref="G6:H6"/>
    <x:mergeCell ref="G7:H8"/>
    <x:mergeCell ref="A10:B10"/>
    <x:mergeCell ref="A11:B12"/>
    <x:mergeCell ref="D10:E10"/>
    <x:mergeCell ref="D11:E12"/>
    <x:mergeCell ref="G10:H10"/>
    <x:mergeCell ref="G11:H12"/>
    <x:mergeCell ref="A14:H14"/>
    <x:mergeCell ref="A21:H21"/>
    <x:mergeCell ref="C23:H23"/>
    <x:mergeCell ref="C24:H24"/>
    <x:mergeCell ref="C25:H25"/>
    <x:mergeCell ref="C26:H26"/>
    <x:mergeCell ref="C27:H27"/>
    <x:mergeCell ref="A29:H29"/>
    <x:mergeCell ref="A45:H47"/>
  </x:mergeCells>
  <x:conditionalFormatting sqref="G17:G19">
    <x:cfRule type="containsText" dxfId="0" priority="1" operator="containsText" text="Consumption"/>
    <x:cfRule type="containsText" dxfId="1" priority="2" operator="containsText" text="Reserved"/>
  </x:conditionalFormatting>
  <x:conditionalFormatting sqref="D32:D42">
    <x:cfRule type="cellIs" dxfId="2" priority="3" operator="greaterThan">
      <x:formula>0</x:formula>
    </x:cfRule>
    <x:cfRule type="cellIs" dxfId="3" priority="4" operator="lessThan">
      <x:formula>0</x:formula>
    </x:cfRule>
  </x:conditionalFormatting>
  <x:pageMargins left="0.7" right="0.7" top="0.75" bottom="0.75" header="0.3" footer="0.3"/>
  <x:drawing xmlns:r="http://schemas.openxmlformats.org/officeDocument/2006/relationships" r:id="R89deefb0f1f742b1"/>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34" hidden="0" customWidth="1"/>
    <x:col min="3" max="3" width="18" hidden="0" customWidth="1"/>
    <x:col min="4" max="4" width="34" hidden="0" customWidth="1"/>
    <x:col min="5" max="5" width="18" hidden="0" customWidth="1"/>
    <x:col min="6" max="6" width="42" hidden="0" customWidth="1"/>
  </x:cols>
  <x:sheetData>
    <x:row r="1" ht="32" customHeight="1">
      <x:c r="A1" s="3" t="str">
        <x:v>Notes, Assumptions, and Sources</x:v>
      </x:c>
      <x:c r="B1" s="3"/>
      <x:c r="C1" s="3"/>
      <x:c r="D1" s="3"/>
      <x:c r="E1" s="3"/>
      <x:c r="F1" s="3"/>
    </x:row>
    <x:row r="2" ht="26" customHeight="1">
      <x:c r="A2" s="7" t="str">
        <x:v>Reserved capacity terms and consumption rates move quickly. Verify the dated offer before using this output in a business case.</x:v>
      </x:c>
      <x:c r="B2" s="7"/>
      <x:c r="C2" s="7"/>
      <x:c r="D2" s="7"/>
      <x:c r="E2" s="7"/>
      <x:c r="F2" s="7"/>
    </x:row>
    <x:row r="4">
      <x:c r="A4" s="10" t="str">
        <x:v>How to use the calculator</x:v>
      </x:c>
      <x:c r="B4" s="10"/>
      <x:c r="C4" s="10"/>
      <x:c r="D4" s="10"/>
      <x:c r="E4" s="10"/>
      <x:c r="F4" s="10"/>
    </x:row>
    <x:row r="5" ht="32" customHeight="1">
      <x:c r="A5" s="171" t="n">
        <x:v>1</x:v>
      </x:c>
      <x:c r="B5" s="22" t="str">
        <x:v>Enter the reserved fee, required extras, setup cost, commitment term, and consumption cost for the same full capacity workload.</x:v>
      </x:c>
      <x:c r="C5" s="22" t="str"/>
      <x:c r="D5" s="22" t="str"/>
      <x:c r="E5" s="22" t="str"/>
      <x:c r="F5" s="22" t="str"/>
    </x:row>
    <x:row r="6" ht="32" customHeight="1">
      <x:c r="A6" s="171" t="n">
        <x:v>2</x:v>
      </x:c>
      <x:c r="B6" s="22" t="str">
        <x:v>Use measured production telemetry. Enter P95 sustained utilization of the offered capacity rather than the single highest peak.</x:v>
      </x:c>
      <x:c r="C6" s="22" t="str"/>
      <x:c r="D6" s="22" t="str"/>
      <x:c r="E6" s="22" t="str"/>
      <x:c r="F6" s="22" t="str"/>
    </x:row>
    <x:row r="7" ht="32" customHeight="1">
      <x:c r="A7" s="171" t="n">
        <x:v>3</x:v>
      </x:c>
      <x:c r="B7" s="22" t="str">
        <x:v>Read the Results sheet at P95, then test the low and high utilization scenarios and the cost curve.</x:v>
      </x:c>
      <x:c r="C7" s="22" t="str"/>
      <x:c r="D7" s="22" t="str"/>
      <x:c r="E7" s="22" t="str"/>
      <x:c r="F7" s="22" t="str"/>
    </x:row>
    <x:row r="8" ht="32" customHeight="1">
      <x:c r="A8" s="171" t="n">
        <x:v>4</x:v>
      </x:c>
      <x:c r="B8" s="22" t="str">
        <x:v>Review the evidence checks. A missing source, date, P95 measure, or mature telemetry window is a gap, not a reason to guess.</x:v>
      </x:c>
      <x:c r="C8" s="22" t="str"/>
      <x:c r="D8" s="22" t="str"/>
      <x:c r="E8" s="22" t="str"/>
      <x:c r="F8" s="22" t="str"/>
    </x:row>
    <x:row r="9" ht="32" customHeight="1">
      <x:c r="A9" s="171" t="n">
        <x:v>5</x:v>
      </x:c>
      <x:c r="B9" s="22" t="str">
        <x:v>Have the technical owner and procurement owner review the output before any commitment is approved.</x:v>
      </x:c>
      <x:c r="C9" s="22" t="str"/>
      <x:c r="D9" s="22" t="str"/>
      <x:c r="E9" s="22" t="str"/>
      <x:c r="F9" s="22" t="str"/>
    </x:row>
    <x:row r="11">
      <x:c r="A11" s="10" t="str">
        <x:v>Calculation logic</x:v>
      </x:c>
      <x:c r="B11" s="10"/>
      <x:c r="C11" s="10"/>
      <x:c r="D11" s="10"/>
      <x:c r="E11" s="10"/>
      <x:c r="F11" s="10"/>
    </x:row>
    <x:row r="12" ht="30" customHeight="1">
      <x:c r="A12" s="175" t="str">
        <x:v>Loaded reserved monthly cost</x:v>
      </x:c>
      <x:c r="B12" s="22" t="str">
        <x:v>Reserved fee plus required monthly costs plus one time setup cost divided by the commitment term.</x:v>
      </x:c>
      <x:c r="C12" s="22" t="str"/>
      <x:c r="D12" s="22" t="str"/>
      <x:c r="E12" s="22" t="str"/>
      <x:c r="F12" s="22" t="str"/>
    </x:row>
    <x:row r="13" ht="30" customHeight="1">
      <x:c r="A13" s="175" t="str">
        <x:v>Consumption at P95</x:v>
      </x:c>
      <x:c r="B13" s="22" t="str">
        <x:v>Consumption cost at full offered capacity multiplied by P95 sustained utilization.</x:v>
      </x:c>
      <x:c r="C13" s="22" t="str"/>
      <x:c r="D13" s="22" t="str"/>
      <x:c r="E13" s="22" t="str"/>
      <x:c r="F13" s="22" t="str"/>
    </x:row>
    <x:row r="14" ht="30" customHeight="1">
      <x:c r="A14" s="175" t="str">
        <x:v>Monthly difference</x:v>
      </x:c>
      <x:c r="B14" s="22" t="str">
        <x:v>Loaded reserved monthly cost minus consumption cost. A positive value means reserved capacity costs more.</x:v>
      </x:c>
      <x:c r="C14" s="22" t="str"/>
      <x:c r="D14" s="22" t="str"/>
      <x:c r="E14" s="22" t="str"/>
      <x:c r="F14" s="22" t="str"/>
    </x:row>
    <x:row r="15" ht="30" customHeight="1">
      <x:c r="A15" s="175" t="str">
        <x:v>Break even utilization</x:v>
      </x:c>
      <x:c r="B15" s="22" t="str">
        <x:v>Loaded reserved monthly cost divided by the consumption cost at full offered capacity.</x:v>
      </x:c>
      <x:c r="C15" s="22" t="str"/>
      <x:c r="D15" s="22" t="str"/>
      <x:c r="E15" s="22" t="str"/>
      <x:c r="F15" s="22" t="str"/>
    </x:row>
    <x:row r="16" ht="30" customHeight="1">
      <x:c r="A16" s="175" t="str">
        <x:v>Utilization gap</x:v>
      </x:c>
      <x:c r="B16" s="22" t="str">
        <x:v>P95 sustained utilization minus break even utilization. A negative value means measured use is below break even.</x:v>
      </x:c>
      <x:c r="C16" s="22" t="str"/>
      <x:c r="D16" s="22" t="str"/>
      <x:c r="E16" s="22" t="str"/>
      <x:c r="F16" s="22" t="str"/>
    </x:row>
    <x:row r="17" ht="30" customHeight="1">
      <x:c r="A17" s="175" t="str">
        <x:v>Idle reserved spend</x:v>
      </x:c>
      <x:c r="B17" s="22" t="str">
        <x:v>Loaded reserved monthly cost multiplied by one minus P95 sustained utilization. This is a capacity use indicator, not the commercial comparison.</x:v>
      </x:c>
      <x:c r="C17" s="22" t="str"/>
      <x:c r="D17" s="22" t="str"/>
      <x:c r="E17" s="22" t="str"/>
      <x:c r="F17" s="22" t="str"/>
    </x:row>
    <x:row r="18" ht="30" customHeight="1">
      <x:c r="A18" s="175" t="str">
        <x:v>Term difference</x:v>
      </x:c>
      <x:c r="B18" s="22" t="str">
        <x:v>Monthly difference multiplied by the commitment term. It does not include time value of money.</x:v>
      </x:c>
      <x:c r="C18" s="22" t="str"/>
      <x:c r="D18" s="22" t="str"/>
      <x:c r="E18" s="22" t="str"/>
      <x:c r="F18" s="22" t="str"/>
    </x:row>
    <x:row r="20">
      <x:c r="A20" s="10" t="str">
        <x:v>Offer and assumption register</x:v>
      </x:c>
      <x:c r="B20" s="10"/>
      <x:c r="C20" s="10"/>
      <x:c r="D20" s="10"/>
      <x:c r="E20" s="10"/>
      <x:c r="F20" s="10"/>
    </x:row>
    <x:row r="22">
      <x:c r="A22" s="110" t="str">
        <x:v>Item</x:v>
      </x:c>
      <x:c r="B22" s="110" t="str">
        <x:v>Loaded value</x:v>
      </x:c>
      <x:c r="C22" s="110" t="str">
        <x:v>As at</x:v>
      </x:c>
      <x:c r="D22" s="110" t="str">
        <x:v>Source</x:v>
      </x:c>
      <x:c r="E22" s="110" t="str">
        <x:v>Section</x:v>
      </x:c>
      <x:c r="F22" s="110" t="str">
        <x:v>What to verify</x:v>
      </x:c>
    </x:row>
    <x:row r="23" ht="48" customHeight="1">
      <x:c r="A23" s="131" t="str">
        <x:v>Reserved monthly fee</x:v>
      </x:c>
      <x:c r="B23" s="176" t="n">
        <x:f>'Inputs'!$B$7</x:f>
        <x:v>10000</x:v>
      </x:c>
      <x:c r="C23" s="179" t="n">
        <x:f>'Inputs'!$B$13</x:f>
        <x:v>46204</x:v>
      </x:c>
      <x:c r="D23" s="131" t="str">
        <x:f>'Inputs'!$B$12</x:f>
        <x:v>AI Commercial Constructs Explained.pdf, worked example</x:v>
      </x:c>
      <x:c r="E23" s="131" t="str">
        <x:v>Vendor offer</x:v>
      </x:c>
      <x:c r="F23" s="131" t="str">
        <x:v>Net fee, currency, capacity unit, model, endpoint, support, and whether billing continues while idle.</x:v>
      </x:c>
    </x:row>
    <x:row r="24" ht="48" customHeight="1">
      <x:c r="A24" s="132" t="str">
        <x:v>Consumption cost at full offered capacity</x:v>
      </x:c>
      <x:c r="B24" s="177" t="n">
        <x:f>'Inputs'!$B$11</x:f>
        <x:v>10000</x:v>
      </x:c>
      <x:c r="C24" s="180" t="n">
        <x:f>'Inputs'!$B$13</x:f>
        <x:v>46204</x:v>
      </x:c>
      <x:c r="D24" s="132" t="str">
        <x:f>'Inputs'!$B$12</x:f>
        <x:v>AI Commercial Constructs Explained.pdf, worked example</x:v>
      </x:c>
      <x:c r="E24" s="132" t="str">
        <x:v>Vendor offer</x:v>
      </x:c>
      <x:c r="F24" s="132" t="str">
        <x:v>Same model, endpoint, currency, service conditions, and actual consumption price at the stated volume.</x:v>
      </x:c>
    </x:row>
    <x:row r="25" ht="48" customHeight="1">
      <x:c r="A25" s="132" t="str">
        <x:v>Commitment term</x:v>
      </x:c>
      <x:c r="B25" s="177" t="n">
        <x:f>'Inputs'!$B$10</x:f>
        <x:v>12</x:v>
      </x:c>
      <x:c r="C25" s="180" t="n">
        <x:f>'Inputs'!$B$13</x:f>
        <x:v>46204</x:v>
      </x:c>
      <x:c r="D25" s="132" t="str">
        <x:f>'Inputs'!$B$12</x:f>
        <x:v>AI Commercial Constructs Explained.pdf, worked example</x:v>
      </x:c>
      <x:c r="E25" s="132" t="str">
        <x:v>Vendor offer</x:v>
      </x:c>
      <x:c r="F25" s="132" t="str">
        <x:v>Start date, cancellation, deletion, reduction, transfer, renewal, and unused commitment treatment.</x:v>
      </x:c>
    </x:row>
    <x:row r="26" ht="48" customHeight="1">
      <x:c r="A26" s="132" t="str">
        <x:v>P95 sustained utilization</x:v>
      </x:c>
      <x:c r="B26" s="178" t="n">
        <x:f>'Inputs'!$B$17</x:f>
        <x:v>0.3</x:v>
      </x:c>
      <x:c r="C26" s="180" t="n">
        <x:f>'Inputs'!$B$13</x:f>
        <x:v>46204</x:v>
      </x:c>
      <x:c r="D26" s="132" t="str">
        <x:v>Production telemetry</x:v>
      </x:c>
      <x:c r="E26" s="132" t="str">
        <x:v>Production monitoring</x:v>
      </x:c>
      <x:c r="F26" s="132" t="str">
        <x:v>Measurement definition, sampling window, capacity denominator, excluded peaks, and accountable technical owner.</x:v>
      </x:c>
    </x:row>
    <x:row r="27" ht="48" customHeight="1">
      <x:c r="A27" s="132" t="str">
        <x:v>Telemetry sequence</x:v>
      </x:c>
      <x:c r="B27" s="132" t="str">
        <x:v>Measure for 60 to 90 days, then compare the proven steady state load</x:v>
      </x:c>
      <x:c r="C27" s="180" t="n">
        <x:v>46204</x:v>
      </x:c>
      <x:c r="D27" s="132" t="str">
        <x:v>AI Commercial Constructs Explained.pdf</x:v>
      </x:c>
      <x:c r="E27" s="132" t="str">
        <x:v>5.3</x:v>
      </x:c>
      <x:c r="F27" s="132" t="str">
        <x:v>Production traffic, P95 sustained throughput, and the amount of proven steady state load that can be reserved safely.</x:v>
      </x:c>
    </x:row>
    <x:row r="28" ht="48" customHeight="1">
      <x:c r="A28" s="133" t="str">
        <x:v>Worked example</x:v>
      </x:c>
      <x:c r="B28" s="133" t="str">
        <x:v>USD 10,000 reserved, 30 percent utilization, USD 3,000 consumption, USD 7,000 monthly difference</x:v>
      </x:c>
      <x:c r="C28" s="181" t="n">
        <x:v>46204</x:v>
      </x:c>
      <x:c r="D28" s="133" t="str">
        <x:v>AI Commercial Constructs Explained.pdf</x:v>
      </x:c>
      <x:c r="E28" s="133" t="str">
        <x:v>5.3</x:v>
      </x:c>
      <x:c r="F28" s="133" t="str">
        <x:v>Illustrative teaching example only. Replace every commercial value with the dated vendor offer.</x:v>
      </x:c>
    </x:row>
    <x:row r="30">
      <x:c r="A30" s="10" t="str">
        <x:v>Source link</x:v>
      </x:c>
      <x:c r="B30" s="10"/>
      <x:c r="C30" s="10"/>
      <x:c r="D30" s="10"/>
      <x:c r="E30" s="10"/>
      <x:c r="F30" s="10"/>
    </x:row>
    <x:row r="31">
      <x:c r="A31" s="184" t="str">
        <x:v>https://github.com/arunbalajiraju-proc/ai-procurement-toolkit/blob/main/playbook/ai-commercial-constructs-explained.pdf</x:v>
      </x:c>
      <x:c r="B31" s="184"/>
      <x:c r="C31" s="184"/>
      <x:c r="D31" s="184"/>
      <x:c r="E31" s="184"/>
      <x:c r="F31" s="184"/>
    </x:row>
    <x:row r="32">
      <x:c r="A32" s="184"/>
      <x:c r="B32" s="184"/>
      <x:c r="C32" s="184"/>
      <x:c r="D32" s="184"/>
      <x:c r="E32" s="184"/>
      <x:c r="F32" s="184"/>
    </x:row>
    <x:row r="34">
      <x:c r="A34" s="10" t="str">
        <x:v>What this calculator does not include</x:v>
      </x:c>
      <x:c r="B34" s="10"/>
      <x:c r="C34" s="10"/>
      <x:c r="D34" s="10"/>
      <x:c r="E34" s="10"/>
      <x:c r="F34" s="10"/>
    </x:row>
    <x:row r="35">
      <x:c r="A35" s="188" t="str">
        <x:v>Taxes, financing effects, token shape changes, performance remedies, support changes, storage, networking, egress, observability, guardrails, private connectivity, human review, migration, early termination, redeployment limits, and future price changes are excluded unless entered in the available monthly or one time cost fields. Add them separately when preparing a total cost of ownership model.</x:v>
      </x:c>
      <x:c r="B35" s="188"/>
      <x:c r="C35" s="188"/>
      <x:c r="D35" s="188"/>
      <x:c r="E35" s="188"/>
      <x:c r="F35" s="188"/>
    </x:row>
    <x:row r="36">
      <x:c r="A36" s="188"/>
      <x:c r="B36" s="188"/>
      <x:c r="C36" s="188"/>
      <x:c r="D36" s="188"/>
      <x:c r="E36" s="188"/>
      <x:c r="F36" s="188"/>
    </x:row>
    <x:row r="37">
      <x:c r="A37" s="188"/>
      <x:c r="B37" s="188"/>
      <x:c r="C37" s="188"/>
      <x:c r="D37" s="188"/>
      <x:c r="E37" s="188"/>
      <x:c r="F37" s="188"/>
    </x:row>
    <x:row r="39">
      <x:c r="A39" s="10" t="str">
        <x:v>Boundary</x:v>
      </x:c>
      <x:c r="B39" s="10"/>
      <x:c r="C39" s="10"/>
      <x:c r="D39" s="10"/>
      <x:c r="E39" s="10"/>
      <x:c r="F39" s="10"/>
    </x:row>
    <x:row r="40">
      <x:c r="A40" s="159" t="str">
        <x:v>This calculator is a cost comparison aid, not a business case, vendor selection, approval, capacity recommendation, or legal opinion. A procurement professional should confirm the commercial assumptions, commitment terms, and excluded costs. The accountable technical owner should confirm production telemetry, P95 sustained utilization, capacity sizing, performance requirements, and peak treatment. Verify every price and term against the dated vendor source before relying on the result.</x:v>
      </x:c>
      <x:c r="B40" s="160"/>
      <x:c r="C40" s="160"/>
      <x:c r="D40" s="160"/>
      <x:c r="E40" s="160"/>
      <x:c r="F40" s="161"/>
    </x:row>
    <x:row r="41">
      <x:c r="A41" s="162"/>
      <x:c r="B41" s="163"/>
      <x:c r="C41" s="163"/>
      <x:c r="D41" s="163"/>
      <x:c r="E41" s="163"/>
      <x:c r="F41" s="164"/>
    </x:row>
    <x:row r="42">
      <x:c r="A42" s="162"/>
      <x:c r="B42" s="163"/>
      <x:c r="C42" s="163"/>
      <x:c r="D42" s="163"/>
      <x:c r="E42" s="163"/>
      <x:c r="F42" s="164"/>
    </x:row>
    <x:row r="43">
      <x:c r="A43" s="165"/>
      <x:c r="B43" s="166"/>
      <x:c r="C43" s="166"/>
      <x:c r="D43" s="166"/>
      <x:c r="E43" s="166"/>
      <x:c r="F43" s="167"/>
    </x:row>
    <x:row r="45">
      <x:c r="A45" s="10" t="str">
        <x:v>Source and version</x:v>
      </x:c>
      <x:c r="B45" s="10"/>
      <x:c r="C45" s="10"/>
      <x:c r="D45" s="10"/>
      <x:c r="E45" s="10"/>
      <x:c r="F45" s="10"/>
    </x:row>
    <x:row r="46">
      <x:c r="A46" s="174" t="str">
        <x:v>Calculator</x:v>
      </x:c>
      <x:c r="B46" s="22" t="str">
        <x:v>reserved-vs-consumption-calculator.xlsx, version 1.0</x:v>
      </x:c>
      <x:c r="C46" s="22" t="str"/>
      <x:c r="D46" s="22" t="str"/>
      <x:c r="E46" s="22" t="str"/>
      <x:c r="F46" s="22" t="str"/>
    </x:row>
    <x:row r="47">
      <x:c r="A47" s="174" t="str">
        <x:v>Toolkit release</x:v>
      </x:c>
      <x:c r="B47" s="22" t="str">
        <x:v>0.6.0, prepared 2026-08-14</x:v>
      </x:c>
      <x:c r="C47" s="22" t="str"/>
      <x:c r="D47" s="22" t="str"/>
      <x:c r="E47" s="22" t="str"/>
      <x:c r="F47" s="22" t="str"/>
    </x:row>
    <x:row r="48">
      <x:c r="A48" s="174" t="str">
        <x:v>Repository</x:v>
      </x:c>
      <x:c r="B48" s="22" t="str">
        <x:v>https://github.com/arunbalajiraju-proc/ai-procurement-toolkit</x:v>
      </x:c>
      <x:c r="C48" s="22" t="str"/>
      <x:c r="D48" s="22" t="str"/>
      <x:c r="E48" s="22" t="str"/>
      <x:c r="F48" s="22" t="str"/>
    </x:row>
    <x:row r="49">
      <x:c r="A49" s="174" t="str">
        <x:v>Source snapshot</x:v>
      </x:c>
      <x:c r="B49" s="22" t="str">
        <x:v>July 2026. Verify current vendor pricing and capacity terms.</x:v>
      </x:c>
      <x:c r="C49" s="22" t="str"/>
      <x:c r="D49" s="22" t="str"/>
      <x:c r="E49" s="22" t="str"/>
      <x:c r="F49" s="22" t="str"/>
    </x:row>
    <x:row r="51">
      <x:c r="A51" s="191" t="str">
        <x:v>Part of the ai-procurement-toolkit. This calculator opens in any modern spreadsheet application. It is a procurement and commercial tool, not legal advice.</x:v>
      </x:c>
      <x:c r="B51" s="191"/>
      <x:c r="C51" s="191"/>
      <x:c r="D51" s="191"/>
      <x:c r="E51" s="191"/>
      <x:c r="F51" s="191"/>
    </x:row>
    <x:row r="52">
      <x:c r="A52" s="191"/>
      <x:c r="B52" s="191"/>
      <x:c r="C52" s="191"/>
      <x:c r="D52" s="191"/>
      <x:c r="E52" s="191"/>
      <x:c r="F52" s="191"/>
    </x:row>
    <x:row r="53">
      <x:c r="A53" s="191"/>
      <x:c r="B53" s="191"/>
      <x:c r="C53" s="191"/>
      <x:c r="D53" s="191"/>
      <x:c r="E53" s="191"/>
      <x:c r="F53" s="191"/>
    </x:row>
  </x:sheetData>
  <x:mergeCells>
    <x:mergeCell ref="A1:F1"/>
    <x:mergeCell ref="A2:F2"/>
    <x:mergeCell ref="A4:F4"/>
    <x:mergeCell ref="B5:F5"/>
    <x:mergeCell ref="B6:F6"/>
    <x:mergeCell ref="B7:F7"/>
    <x:mergeCell ref="B8:F8"/>
    <x:mergeCell ref="B9:F9"/>
    <x:mergeCell ref="A11:F11"/>
    <x:mergeCell ref="B12:F12"/>
    <x:mergeCell ref="B13:F13"/>
    <x:mergeCell ref="B14:F14"/>
    <x:mergeCell ref="B15:F15"/>
    <x:mergeCell ref="B16:F16"/>
    <x:mergeCell ref="B17:F17"/>
    <x:mergeCell ref="B18:F18"/>
    <x:mergeCell ref="A20:F20"/>
    <x:mergeCell ref="A30:F30"/>
    <x:mergeCell ref="A31:F32"/>
    <x:mergeCell ref="A34:F34"/>
    <x:mergeCell ref="A35:F37"/>
    <x:mergeCell ref="A39:F39"/>
    <x:mergeCell ref="A40:F43"/>
    <x:mergeCell ref="A45:F45"/>
    <x:mergeCell ref="B46:F46"/>
    <x:mergeCell ref="B47:F47"/>
    <x:mergeCell ref="B48:F48"/>
    <x:mergeCell ref="B49:F49"/>
    <x:mergeCell ref="A51:F53"/>
  </x:mergeCells>
  <x:pageMargins left="0.7" right="0.7" top="0.75" bottom="0.75" header="0.3" footer="0.3"/>
</x:worksheet>
</file>